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lenovo\Downloads\"/>
    </mc:Choice>
  </mc:AlternateContent>
  <xr:revisionPtr revIDLastSave="0" documentId="13_ncr:1_{D148FF52-AAE6-4CB9-8B62-9C107634A384}" xr6:coauthVersionLast="47" xr6:coauthVersionMax="47" xr10:uidLastSave="{00000000-0000-0000-0000-000000000000}"/>
  <bookViews>
    <workbookView xWindow="-110" yWindow="-110" windowWidth="19420" windowHeight="10420" xr2:uid="{61DC8AB2-D268-4FF1-9D44-498D0745A9AF}"/>
  </bookViews>
  <sheets>
    <sheet name="RSPO Checklist" sheetId="1" r:id="rId1"/>
    <sheet name="Contract Review" sheetId="3" r:id="rId2"/>
    <sheet name="Scheduling Review" sheetId="4" r:id="rId3"/>
    <sheet name="Admin Review" sheetId="5" r:id="rId4"/>
    <sheet name="Database Update" sheetId="6" r:id="rId5"/>
    <sheet name="ICC Technical Review" sheetId="7" r:id="rId6"/>
    <sheet name="ICC Final Review" sheetId="8" r:id="rId7"/>
    <sheet name="Support" sheetId="2" state="hidden" r:id="rId8"/>
  </sheets>
  <externalReferences>
    <externalReference r:id="rId9"/>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186" i="1" l="1"/>
  <c r="S32" i="1"/>
  <c r="S28" i="1" l="1"/>
  <c r="Z212" i="1" l="1"/>
  <c r="Z170" i="1"/>
  <c r="Z128" i="1"/>
  <c r="Z72" i="1"/>
  <c r="Z46" i="1"/>
  <c r="Z208" i="1"/>
  <c r="Z209" i="1"/>
  <c r="Z211" i="1"/>
  <c r="S134" i="1"/>
  <c r="S132" i="1"/>
  <c r="S129" i="1"/>
  <c r="S126" i="1"/>
  <c r="S121" i="1"/>
  <c r="S116" i="1"/>
  <c r="S111" i="1"/>
  <c r="S103" i="1"/>
  <c r="S96" i="1"/>
  <c r="S92" i="1"/>
  <c r="S213" i="1"/>
  <c r="S205" i="1"/>
  <c r="S201" i="1"/>
  <c r="S194" i="1"/>
  <c r="S191" i="1"/>
  <c r="S181" i="1"/>
  <c r="S172" i="1"/>
  <c r="S154" i="1"/>
  <c r="S149" i="1"/>
  <c r="S166" i="1"/>
  <c r="S145" i="1"/>
  <c r="S84" i="1"/>
  <c r="S76" i="1"/>
  <c r="S70" i="1"/>
  <c r="S61" i="1"/>
  <c r="S58" i="1"/>
  <c r="S47" i="1"/>
  <c r="S43" i="1"/>
  <c r="S39" i="1"/>
  <c r="S34" i="1"/>
  <c r="Z187" i="1"/>
  <c r="S209" i="1"/>
  <c r="Z183" i="1" l="1"/>
  <c r="Z184" i="1"/>
  <c r="Z185" i="1"/>
  <c r="Z182"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44" i="1"/>
  <c r="B1" i="8"/>
  <c r="B1" i="7"/>
  <c r="J190" i="1" l="1"/>
  <c r="J180" i="1"/>
  <c r="Z195" i="1"/>
  <c r="Z196" i="1"/>
  <c r="Z197" i="1"/>
  <c r="Z198" i="1"/>
  <c r="Z199" i="1"/>
  <c r="Z200" i="1"/>
  <c r="Z201" i="1"/>
  <c r="Z202" i="1"/>
  <c r="Z203" i="1"/>
  <c r="Z204" i="1"/>
  <c r="Z205" i="1"/>
  <c r="Z206" i="1"/>
  <c r="Z207" i="1"/>
  <c r="Z210" i="1"/>
  <c r="Z193" i="1"/>
  <c r="Z194" i="1"/>
  <c r="Z192" i="1"/>
  <c r="B1" i="6"/>
  <c r="B1" i="5"/>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85" i="1"/>
  <c r="Z60" i="1"/>
  <c r="Z61" i="1"/>
  <c r="Z62" i="1"/>
  <c r="Z63" i="1"/>
  <c r="Z64" i="1"/>
  <c r="Z65" i="1"/>
  <c r="Z66" i="1"/>
  <c r="Z67" i="1"/>
  <c r="Z68" i="1"/>
  <c r="Z69" i="1"/>
  <c r="Z70" i="1"/>
  <c r="Z71" i="1"/>
  <c r="Z59" i="1"/>
  <c r="B1" i="4"/>
  <c r="B1" i="3"/>
  <c r="J221" i="1" l="1"/>
  <c r="J82" i="1"/>
  <c r="J142" i="1"/>
  <c r="Z36" i="1"/>
  <c r="Z30" i="1"/>
  <c r="Z31" i="1"/>
  <c r="Z32" i="1"/>
  <c r="Z33" i="1"/>
  <c r="Z34" i="1"/>
  <c r="Z35" i="1"/>
  <c r="Z37" i="1"/>
  <c r="Z38" i="1"/>
  <c r="Z39" i="1"/>
  <c r="Z40" i="1"/>
  <c r="Z41" i="1"/>
  <c r="Z42" i="1"/>
  <c r="Z43" i="1"/>
  <c r="Z44" i="1"/>
  <c r="Z45" i="1"/>
  <c r="Z29" i="1"/>
  <c r="J56" i="1" l="1"/>
  <c r="S170" i="1"/>
  <c r="S143" i="1"/>
  <c r="S74" i="1"/>
  <c r="S68" i="1"/>
  <c r="S66" i="1"/>
  <c r="S64" i="1"/>
  <c r="S37" i="1"/>
</calcChain>
</file>

<file path=xl/sharedStrings.xml><?xml version="1.0" encoding="utf-8"?>
<sst xmlns="http://schemas.openxmlformats.org/spreadsheetml/2006/main" count="1435" uniqueCount="547">
  <si>
    <t xml:space="preserve">Defects </t>
  </si>
  <si>
    <t>Review Number</t>
  </si>
  <si>
    <t>COMENTS</t>
  </si>
  <si>
    <t>Auditor Name</t>
  </si>
  <si>
    <t>License status</t>
  </si>
  <si>
    <t>ICC NAME</t>
  </si>
  <si>
    <t>RESOURCE NAME</t>
  </si>
  <si>
    <t>Contracting Country</t>
  </si>
  <si>
    <t>Supply Chain Model</t>
  </si>
  <si>
    <t>SITE TYPE</t>
  </si>
  <si>
    <t>AUDIT TYPE</t>
  </si>
  <si>
    <t>YES</t>
  </si>
  <si>
    <t>1st Review</t>
  </si>
  <si>
    <t>ALFREDO PINTO ESCOVAL</t>
  </si>
  <si>
    <t>Active</t>
  </si>
  <si>
    <t>JAMIE TANG</t>
  </si>
  <si>
    <t>JOEL NADAR</t>
  </si>
  <si>
    <t>AUSTRALIA</t>
  </si>
  <si>
    <t>IP</t>
  </si>
  <si>
    <t>Mono Site</t>
  </si>
  <si>
    <t xml:space="preserve">Initial </t>
  </si>
  <si>
    <t>NO</t>
  </si>
  <si>
    <t>2nd Review</t>
  </si>
  <si>
    <t>NA</t>
  </si>
  <si>
    <t>ALVIN SHEN</t>
  </si>
  <si>
    <t>Expired</t>
  </si>
  <si>
    <t>JOSIE AN</t>
  </si>
  <si>
    <t>FIRDOUS SHAIKH</t>
  </si>
  <si>
    <t>AUSTRIA</t>
  </si>
  <si>
    <t>SG</t>
  </si>
  <si>
    <t>Multi-Site</t>
  </si>
  <si>
    <t>Surveillance 1</t>
  </si>
  <si>
    <t>3rd Review</t>
  </si>
  <si>
    <t>ALZBETA KORCEKOVA</t>
  </si>
  <si>
    <t>Still to be activated</t>
  </si>
  <si>
    <t>BHAVIKA GOHIL</t>
  </si>
  <si>
    <t>CANADA</t>
  </si>
  <si>
    <t>MB</t>
  </si>
  <si>
    <t>Surveillance 2</t>
  </si>
  <si>
    <t>4th Review</t>
  </si>
  <si>
    <t>ANDREA HRNCIAROVA</t>
  </si>
  <si>
    <t>JASPREET SINGH</t>
  </si>
  <si>
    <t>CHINA-BEIJING</t>
  </si>
  <si>
    <t>IP,SG</t>
  </si>
  <si>
    <t>Surveillance 3</t>
  </si>
  <si>
    <t>5th Review</t>
  </si>
  <si>
    <t xml:space="preserve">ANGEL IRLES  </t>
  </si>
  <si>
    <t>ILYAS SHAIKH</t>
  </si>
  <si>
    <t>CHINA-GUANGZHOU</t>
  </si>
  <si>
    <t>IP,MB</t>
  </si>
  <si>
    <t>Surveillance 4</t>
  </si>
  <si>
    <t>6th Review</t>
  </si>
  <si>
    <t xml:space="preserve">ANGELICA ISPIR </t>
  </si>
  <si>
    <t>CHINA-HONG KONG</t>
  </si>
  <si>
    <t>MB, SG</t>
  </si>
  <si>
    <t>Recertification</t>
  </si>
  <si>
    <t>7th Review</t>
  </si>
  <si>
    <t xml:space="preserve">ANNI-KAISA STENGÅRD  </t>
  </si>
  <si>
    <t>CHINA-SHANGHAI</t>
  </si>
  <si>
    <t>IP, SG, MB</t>
  </si>
  <si>
    <t>Special</t>
  </si>
  <si>
    <t>BARBARA ZARBA</t>
  </si>
  <si>
    <t>CZECH REPUBLIC</t>
  </si>
  <si>
    <t>Book &amp; Claim</t>
  </si>
  <si>
    <t>Scope extension</t>
  </si>
  <si>
    <t xml:space="preserve">BRUCE CLARK </t>
  </si>
  <si>
    <t>DENMARK</t>
  </si>
  <si>
    <t>Remote audit</t>
  </si>
  <si>
    <t xml:space="preserve">CARLOTTA AMADASI </t>
  </si>
  <si>
    <t>FINLAND</t>
  </si>
  <si>
    <t>CLYDE ROBINSON</t>
  </si>
  <si>
    <t>FRANCE</t>
  </si>
  <si>
    <t xml:space="preserve">DALIA PAKETURIENE </t>
  </si>
  <si>
    <t>GERMANY</t>
  </si>
  <si>
    <t>DANIEL BELSAK</t>
  </si>
  <si>
    <t>GREECE</t>
  </si>
  <si>
    <t>DANIEL MITKOWSKI</t>
  </si>
  <si>
    <t>HUNGARY</t>
  </si>
  <si>
    <t>DANIELA SAMARATI</t>
  </si>
  <si>
    <t>INDIA</t>
  </si>
  <si>
    <t xml:space="preserve">DONNA LIU </t>
  </si>
  <si>
    <t>INDONESIA</t>
  </si>
  <si>
    <t>ERIC BILOT</t>
  </si>
  <si>
    <t>ITALY</t>
  </si>
  <si>
    <t>FABIENNE CERDAN</t>
  </si>
  <si>
    <t>KENYA</t>
  </si>
  <si>
    <t xml:space="preserve">FLORENCE HEIB  </t>
  </si>
  <si>
    <t>LATVIA</t>
  </si>
  <si>
    <t xml:space="preserve">GAVINA DARIO </t>
  </si>
  <si>
    <t>LITHUANIA</t>
  </si>
  <si>
    <t xml:space="preserve">GEORGE BOZINIS </t>
  </si>
  <si>
    <t>MALAYSIA</t>
  </si>
  <si>
    <t>GUOQIAO FENG</t>
  </si>
  <si>
    <t>NETHERLAND</t>
  </si>
  <si>
    <t>HAIBING ZHANG</t>
  </si>
  <si>
    <t>NEW ZEALAND</t>
  </si>
  <si>
    <t>HANA BROZKOVA</t>
  </si>
  <si>
    <t>POLAND</t>
  </si>
  <si>
    <t xml:space="preserve">HARSO YULI ANTENA </t>
  </si>
  <si>
    <t>PORTUGAL</t>
  </si>
  <si>
    <t>HEE-CHEUL LEE</t>
  </si>
  <si>
    <t>ROMANIA</t>
  </si>
  <si>
    <t>IZABELLA BAKÓ</t>
  </si>
  <si>
    <t>RUSSIAN FEDERATION</t>
  </si>
  <si>
    <t>JACEK MARKIEWICZ</t>
  </si>
  <si>
    <t>SINGAPORE</t>
  </si>
  <si>
    <t>SLOVAKIA</t>
  </si>
  <si>
    <t>JAN ERIK HEDEMAND</t>
  </si>
  <si>
    <t>SLOVENIA</t>
  </si>
  <si>
    <t>JINLIANG WANG</t>
  </si>
  <si>
    <t>SPAIN</t>
  </si>
  <si>
    <t>JOSE LUIS QUIROS CARRERO</t>
  </si>
  <si>
    <t>SWITZERLAND</t>
  </si>
  <si>
    <t>TAIWAN</t>
  </si>
  <si>
    <t xml:space="preserve">JULIANA COLPAS </t>
  </si>
  <si>
    <t>THAILAND</t>
  </si>
  <si>
    <t>KIELO HÄRMÄLÄ</t>
  </si>
  <si>
    <t>UNITED KINGDOM</t>
  </si>
  <si>
    <t>LAKEY LI</t>
  </si>
  <si>
    <t>UNITED STATES</t>
  </si>
  <si>
    <t>LAURENT ROY</t>
  </si>
  <si>
    <t>VIETNAM</t>
  </si>
  <si>
    <t>LILY CHUANG</t>
  </si>
  <si>
    <t>LYUDMILA ZHURAVLEVA</t>
  </si>
  <si>
    <t>MAELLE GAUTIER</t>
  </si>
  <si>
    <t>MARIE-AMELIE DALLEAS</t>
  </si>
  <si>
    <t>MARIO VIEIRA</t>
  </si>
  <si>
    <t>MARKO  MAJER</t>
  </si>
  <si>
    <t>MARTA PASCUAL</t>
  </si>
  <si>
    <t>MATTI HUKARI</t>
  </si>
  <si>
    <t>MICHAEL HUANG</t>
  </si>
  <si>
    <t>NGUYEN HONG LINH</t>
  </si>
  <si>
    <t>NIYOM SANMANO</t>
  </si>
  <si>
    <t>PAOLO TOCCHETTI</t>
  </si>
  <si>
    <t>PHAM DINH KHAI</t>
  </si>
  <si>
    <t>RENAUD GEORGES</t>
  </si>
  <si>
    <t xml:space="preserve">SAMUELE ALBONETTI  </t>
  </si>
  <si>
    <t>SARA BARBERO</t>
  </si>
  <si>
    <t xml:space="preserve">SREEKUMAR NAIR </t>
  </si>
  <si>
    <t xml:space="preserve">TORBEN LYSTER-CLAUSEN </t>
  </si>
  <si>
    <t>VINCEN ZHANG</t>
  </si>
  <si>
    <t>VINCENT CHNG</t>
  </si>
  <si>
    <t>WILIT MUENSROY</t>
  </si>
  <si>
    <t>WINSTON SAVELLE</t>
  </si>
  <si>
    <t>XIANGYUN WANG</t>
  </si>
  <si>
    <t>XIAOPING CHEN</t>
  </si>
  <si>
    <t>YANBIN WANG</t>
  </si>
  <si>
    <t>YANNIS VERIKIS</t>
  </si>
  <si>
    <t>ZHIGANG HAN</t>
  </si>
  <si>
    <t>Document</t>
  </si>
  <si>
    <t>Version</t>
  </si>
  <si>
    <t>Released</t>
  </si>
  <si>
    <t>CMX Process Id</t>
  </si>
  <si>
    <t>Parent Company</t>
  </si>
  <si>
    <t>Site Name and Address</t>
  </si>
  <si>
    <t>Type of Business</t>
  </si>
  <si>
    <t xml:space="preserve">Audit Type </t>
  </si>
  <si>
    <t>Monosite/Multi site</t>
  </si>
  <si>
    <t>License Status in Palm Trace</t>
  </si>
  <si>
    <t>Is this a Transfer Client ?</t>
  </si>
  <si>
    <t>Auditor Team Member</t>
  </si>
  <si>
    <t>Witness Auditor</t>
  </si>
  <si>
    <t>Non Confirmity Raised in Audit</t>
  </si>
  <si>
    <t xml:space="preserve">Contracting Country </t>
  </si>
  <si>
    <t>Siebel Contract Number</t>
  </si>
  <si>
    <t>Master SR Number</t>
  </si>
  <si>
    <t xml:space="preserve">Performing Country </t>
  </si>
  <si>
    <t>Audit End Date</t>
  </si>
  <si>
    <t>Certificate Expiry Date</t>
  </si>
  <si>
    <t>Date of 1st Certification</t>
  </si>
  <si>
    <t>License Expiry Date</t>
  </si>
  <si>
    <t xml:space="preserve">Lead Auditor </t>
  </si>
  <si>
    <t>Total Number of Auditors</t>
  </si>
  <si>
    <t>ADR Applicable</t>
  </si>
  <si>
    <t>Audit Start Date</t>
  </si>
  <si>
    <t>Certificate Start Date</t>
  </si>
  <si>
    <t>RSPO Membership Number</t>
  </si>
  <si>
    <t>License Start Date</t>
  </si>
  <si>
    <t xml:space="preserve">Final Audit Report Received date </t>
  </si>
  <si>
    <t>Observer</t>
  </si>
  <si>
    <t>No. of NCs</t>
  </si>
  <si>
    <t>SCENARIO</t>
  </si>
  <si>
    <t>COLOUR</t>
  </si>
  <si>
    <t>Checkpoints GPC have to reject 100% and only submit to ICC after clearing those defects.</t>
  </si>
  <si>
    <t>Checkpoints GPC can submit to ICC with open defects. ICC will take a call for the defects.</t>
  </si>
  <si>
    <t>Checkpoints for defects which GPC can follow up with the Local office to clear after Certificate issuance without keeping the task on hold.</t>
  </si>
  <si>
    <t>Checkpoints for defects for which GPC can make the corrections without rejecting the task in CMX.</t>
  </si>
  <si>
    <t>GPC Contract Review</t>
  </si>
  <si>
    <t>GPC</t>
  </si>
  <si>
    <t>Comments for Defects</t>
  </si>
  <si>
    <t>CMX DATA INTEGRITY CHECK</t>
  </si>
  <si>
    <t>1A</t>
  </si>
  <si>
    <t>1B</t>
  </si>
  <si>
    <t>1C</t>
  </si>
  <si>
    <t xml:space="preserve">Check if RSPO-Mainsite Workflow is updated </t>
  </si>
  <si>
    <t>Check if the Client name, Contracting Country, Palmtrace ID, Performing Country, Latest Audit Start Date, Siebel Contract Number, License expiry date, Certiifcate expiry date, Contract Category has been updated. (if not updated, then GPC has to update the same)</t>
  </si>
  <si>
    <t>Check if the Siebel Contract Number has been provided.</t>
  </si>
  <si>
    <t>PROPOSAL REVIEW CHECKLIST</t>
  </si>
  <si>
    <t>2A</t>
  </si>
  <si>
    <t>2B</t>
  </si>
  <si>
    <t>3A</t>
  </si>
  <si>
    <t>SCHEDULING RULES</t>
  </si>
  <si>
    <t>4A</t>
  </si>
  <si>
    <t>Check if the audit is scheduled between 8 and 12 months from license’s expiration date (Rule not applicable for Main/Renewal Audit)-
a) For audits scheduled after 12 months (after the original license expiration date) - inform LO to clarify the issue and keep ICC in copy, ICC to decide whether to approve license extension or License suspension.
b) For audits scheduled after the extended license expiration date - GPC to initiate certificate suspension process immediately in CMX and inform LO on email, keeping ICC in copy.
c) For audits scheduled prior to 8 months - raise defect in checklist and return to LO.
d) Audit scheduled slightly before license expiration date - GPC to apply license extension in Palm Trace (Maximum 3 month extension limit)</t>
  </si>
  <si>
    <t>5A</t>
  </si>
  <si>
    <t>6A</t>
  </si>
  <si>
    <t xml:space="preserve">In case of a Trainee auditor, Please check if he or she has been has been updated as Lead Auditor Trainee  in the Master SR-&gt;Activity-&gt;Additonal Role Column.
 </t>
  </si>
  <si>
    <t>6B</t>
  </si>
  <si>
    <t xml:space="preserve">In case of a Trainee auditor, Please check if the Qualified auditor Witness auditor in the Master SR-&gt;Activity-&gt;Additonal Role Column </t>
  </si>
  <si>
    <t>6C</t>
  </si>
  <si>
    <t xml:space="preserve"> In case of a Trainee auditor, please check if the Witness auditor is qualified as per Auditor competence(y) list maintained by GPC.</t>
  </si>
  <si>
    <t>AUDITOR ROTATION RULES</t>
  </si>
  <si>
    <t>7A</t>
  </si>
  <si>
    <t>8A</t>
  </si>
  <si>
    <t>If the license is nearing the expiry and Master SR status is confirmed, Frozen or Done, submit the license extension request in Palm Trace database. (Maximum 2 weeks at a time for Recertification)
(Note: Renewal audit shall be scheduled prior to License/ Certificate expiry date to be eligible for License extension)</t>
  </si>
  <si>
    <t>8B</t>
  </si>
  <si>
    <t>If the License expiry is less than 30 days away, and the Master SR line status is 'To be scheduled/ Scheduled / Proposed', then seek LO-scheduler's feedback for reason for delay via email keeping GPM-Jamie Tang in cc. In case Jamie Tang accepts the reason for delay and approves the License extension, then GPC will submit the License extension in Palmtrace</t>
  </si>
  <si>
    <t>Date of Task 1st Assigned for Review</t>
  </si>
  <si>
    <t>In case of Revised offer review during Surveillance audit, please check if the Complimentary Signed Contract has been uploaded in CMX. (If not available Upload the same in Siebel/CMX)</t>
  </si>
  <si>
    <t>CONTRACT ANNEXE</t>
  </si>
  <si>
    <t xml:space="preserve">Number of Sites mentioned in the 'More info' tab in Siebel should be same as the number mentioned in the Signed contract.
</t>
  </si>
  <si>
    <t>Check if Master SR line is created in Siebel.</t>
  </si>
  <si>
    <t>Check if the Transfer documents in CMX:
a) Previous CB Audit Report, 
b)Annexe 1 Summary and 
c)Previous CB Certificate</t>
  </si>
  <si>
    <t>Upload the new certificate in Bureau Veritas template in the RSPO Palmtrace Platform.</t>
  </si>
  <si>
    <t>3B</t>
  </si>
  <si>
    <t>5B</t>
  </si>
  <si>
    <t>5C</t>
  </si>
  <si>
    <t>7B</t>
  </si>
  <si>
    <t>7C</t>
  </si>
  <si>
    <t>7D</t>
  </si>
  <si>
    <t>Comments or Remarks</t>
  </si>
  <si>
    <t>To be filled by GPC</t>
  </si>
  <si>
    <t>Type of Control</t>
  </si>
  <si>
    <t>Number of Review</t>
  </si>
  <si>
    <t>Review date</t>
  </si>
  <si>
    <t>Results</t>
  </si>
  <si>
    <t>Reviewer Name</t>
  </si>
  <si>
    <t>Comments</t>
  </si>
  <si>
    <t>GPC/Contract Review</t>
  </si>
  <si>
    <t xml:space="preserve">GPC Scheduling Review </t>
  </si>
  <si>
    <t>IA</t>
  </si>
  <si>
    <t xml:space="preserve">Check if the Audit if Confirmed, Frozen at the Scheduling Review stage
</t>
  </si>
  <si>
    <t xml:space="preserve">Check if the audit details (Audit dates, auditor name) are completely filled in CMX and if the details updated are consistent with Siebel data. </t>
  </si>
  <si>
    <t>Issue new certificate to the transfer company by maintaining the previous certification expiry date</t>
  </si>
  <si>
    <t xml:space="preserve">Check if the contract is signed and dated by both the Client &amp; BV local office. </t>
  </si>
  <si>
    <t>Check if the signed contract  is uploaded in Siebel/CMX (If not available Upload the same in Siebel/CMX</t>
  </si>
  <si>
    <t>Check if the following client details in Siebel are appropriately updated in more info tab in SIEBEL -
 a) Accreditation body (ASI)
 b) BV product zig (C49)
 c) Standard zig (BQD)
 d) Standard description (RSPO - Sust Palm Oil - CoC)
(if the above details are not updated correctly, Please check if the same has been corrected in Contract lines tab in Siebel)</t>
  </si>
  <si>
    <t>Check if the Transfer Client's License is suspended by the Previous CB in Palmtrace</t>
  </si>
  <si>
    <t>SIGNED CONTRACT AND MANDAYS CHECK</t>
  </si>
  <si>
    <t>CMX AND SIEBEL DATA INTEGRITY</t>
  </si>
  <si>
    <t>GPC Administrative Review</t>
  </si>
  <si>
    <t xml:space="preserve">RSPO SCC Annex 1 Summary </t>
    <phoneticPr fontId="0" type="noConversion"/>
  </si>
  <si>
    <t>1D</t>
  </si>
  <si>
    <t>1E</t>
  </si>
  <si>
    <t>1F</t>
  </si>
  <si>
    <t>1G</t>
  </si>
  <si>
    <t>Check if the Sales contract is signed and dated by the client and BVC legal entity. The same shall be available in Siebel &amp; CMX.</t>
    <phoneticPr fontId="0" type="noConversion"/>
  </si>
  <si>
    <t>2C</t>
  </si>
  <si>
    <t xml:space="preserve">During the Review, if reviewer identifies any change in Client name or Supporting site addition then Complimentary signed contract is required and the same should be availlable in CMX and Siebel. </t>
    <phoneticPr fontId="0" type="noConversion"/>
  </si>
  <si>
    <t>PALMTRACE</t>
    <phoneticPr fontId="0" type="noConversion"/>
  </si>
  <si>
    <t>Client name appearing in Palm Trace database is consistent with Audit checklist.</t>
    <phoneticPr fontId="0" type="noConversion"/>
  </si>
  <si>
    <t>Parent Company Name appearing in Palm Trace database is consistent with Audit checklist.</t>
  </si>
  <si>
    <t>3C</t>
  </si>
  <si>
    <t>Address appearing in Palm Trace database is consistent with Audit checklist.</t>
    <phoneticPr fontId="0" type="noConversion"/>
  </si>
  <si>
    <t>3D</t>
  </si>
  <si>
    <t>Palmtrace ID in Palm Trace database is consistent with Audit checklist.</t>
  </si>
  <si>
    <t>3E</t>
  </si>
  <si>
    <t>RSPO Membership Number in Palm Trace database is consistent with Audit checklist.</t>
  </si>
  <si>
    <t>3F</t>
  </si>
  <si>
    <t>Type of Business in Palm Trace database is consistent with Audit checklist.</t>
  </si>
  <si>
    <t>AUDIT CHECKLIST</t>
    <phoneticPr fontId="0" type="noConversion"/>
  </si>
  <si>
    <t>Check if the Supply chain Model updated in Audit checklist matches with Annexe 1 Summary.</t>
    <phoneticPr fontId="0" type="noConversion"/>
  </si>
  <si>
    <t>4B</t>
  </si>
  <si>
    <t>Check if the Lead auditor and team members mentioned in Audit checklist are consistent with Siebel and CMX.</t>
  </si>
  <si>
    <t>4C</t>
  </si>
  <si>
    <t>Check If the audit type updated in Audit checklist is correctly updated as per the client's audit cycle, and is consistent with Siebel and CMX.</t>
    <phoneticPr fontId="0" type="noConversion"/>
  </si>
  <si>
    <t>4D</t>
  </si>
  <si>
    <t>Check if the audit dates updated in Audit checklist is consistent with Siebel and CMX.</t>
    <phoneticPr fontId="0" type="noConversion"/>
  </si>
  <si>
    <t>4E</t>
  </si>
  <si>
    <t>Check if the Certificate details updated in Audit checklist are correctly updated and are consistent with existing certificate in case of Surveillance/Special/Extension audits.</t>
  </si>
  <si>
    <t>4F</t>
  </si>
  <si>
    <t>Please check if the Auditor name is updated in Cell G65 in Summary Report tab in Audit checklist</t>
  </si>
  <si>
    <t>4G</t>
  </si>
  <si>
    <t xml:space="preserve">In case there is subcontractor mentioned in audit checklist (5.5), Please check the application form, the Section 2: Information of ALL Subcontractors for RSPO certified products cannot be “NA”. </t>
  </si>
  <si>
    <t>MULTI-SITE CLIENT</t>
    <phoneticPr fontId="0" type="noConversion"/>
  </si>
  <si>
    <t>Check if the all the Sites of the client is updated in the list of Sites tab in the Audit checlist. (Cross check with Existing Certificate (if available) and the Proposal Review checklist (original and complementary).</t>
    <phoneticPr fontId="0" type="noConversion"/>
  </si>
  <si>
    <t xml:space="preserve">Check the audit dates for sampling sites updated in the list of Sites tab are consisitent with Siebel. </t>
    <phoneticPr fontId="0" type="noConversion"/>
  </si>
  <si>
    <t>Check if the Mandays performed for the supporting sites during the audit is consistent with the Mandays allocated in Proposal Review checklist and Signed Contract.</t>
  </si>
  <si>
    <t>5D</t>
  </si>
  <si>
    <t>Check the Iterenary section in Summary tab of Audit checkist is updated with Site Name/Location, Audit dates, man-days, auditor name, and ensure that it matches with the details updated in the Audit Plan</t>
  </si>
  <si>
    <t>AUDIT PLAN</t>
  </si>
  <si>
    <t>Check if the client name updated in Audit Plan is consistent with CMX and Siebel.</t>
  </si>
  <si>
    <t>Check if the RSPO Member N°, Lead Auditor (LA), Date, Scheme, Audit Type and Site address updated in Audit Plan is consistent with Audit checklist.</t>
  </si>
  <si>
    <t>Check if the Audit format in Audit Plan is consistent with Siebel. (Onsite/Offsite)</t>
    <phoneticPr fontId="0" type="noConversion"/>
  </si>
  <si>
    <t>6D</t>
  </si>
  <si>
    <t>Audit visit Mandays performed are consistent with the approved signed contract/Complimentary Signed Contract.</t>
    <phoneticPr fontId="0" type="noConversion"/>
  </si>
  <si>
    <t>Check if the Lead auditor and team members updated in Audit checklist and Audit Plan are qualified in Siebel and available in the Auditor Competence Sheet available with GPC. (Not applicable for Trainee auditors)</t>
    <phoneticPr fontId="0" type="noConversion"/>
  </si>
  <si>
    <t>In case the Lead Auditor is a Trainee, them the Qualified auditor should be updated as Witness auditor in Audit checklist and Siebel.</t>
  </si>
  <si>
    <t>Check if the Lead auditor and team members are registered in the Palm Trace database. In case the auditor profile is not available in Palmtrace, then GPC will create their profile in Palmtrace.</t>
  </si>
  <si>
    <t>Check if the auditor has performed not more than 3 consecutive audits for the same client at the same site(count starts from 2019, however, applicable from 2022). (This rule does not apply for Witness auditor and Observers)</t>
    <phoneticPr fontId="0" type="noConversion"/>
  </si>
  <si>
    <t>Check if the audit is scheduled between 8 and 12 months from license’s expiration date. (Rule not applicable for Main/Renewal Audit)-
- For audits performed prior to 8 months or after License expiry,  ICC's decision required for further action.</t>
    <phoneticPr fontId="0" type="noConversion"/>
  </si>
  <si>
    <t>In case of Surveillance/Renewal/Special Audits, check for client's license status in Palm Trace database. If the license is nearing the expiry then take GPM's approval and submit the license extension request in Palm Trace database.</t>
    <phoneticPr fontId="0" type="noConversion"/>
  </si>
  <si>
    <t>SUPPORTING DOCUMENTS</t>
    <phoneticPr fontId="0" type="noConversion"/>
  </si>
  <si>
    <t>9A</t>
  </si>
  <si>
    <t>Check if the all the details are approprately updated in the Meeting attendance list (including Signature of the participants)</t>
    <phoneticPr fontId="0" type="noConversion"/>
  </si>
  <si>
    <t>9B</t>
  </si>
  <si>
    <t>Check if the all the details are approprately updated in the Closing Meeting record (including Signature of the Client representative and Auditor)</t>
    <phoneticPr fontId="0" type="noConversion"/>
  </si>
  <si>
    <t>10A</t>
  </si>
  <si>
    <t>DRAFT CERTIFICATE</t>
    <phoneticPr fontId="0" type="noConversion"/>
  </si>
  <si>
    <t>11A</t>
  </si>
  <si>
    <t>Please check if the existing Certificate can be maintained or if a Revised Certificate is to be issued.</t>
    <phoneticPr fontId="0" type="noConversion"/>
  </si>
  <si>
    <t>11B</t>
  </si>
  <si>
    <t>If Revised Certificate has to be issued, then specify the reason for the same in the comments box.</t>
    <phoneticPr fontId="0" type="noConversion"/>
  </si>
  <si>
    <t>11C</t>
  </si>
  <si>
    <t>Is draft certificate appropriately generated in Siebel and uploaded by GPC in CMX?</t>
    <phoneticPr fontId="0" type="noConversion"/>
  </si>
  <si>
    <t>Date of Task 1st Assigned for Review</t>
    <phoneticPr fontId="0" type="noConversion"/>
  </si>
  <si>
    <r>
      <t xml:space="preserve">
</t>
    </r>
    <r>
      <rPr>
        <sz val="13"/>
        <color rgb="FFFF0000"/>
        <rFont val="Calibri"/>
        <family val="2"/>
      </rPr>
      <t xml:space="preserve">Audit checklist/Report
</t>
    </r>
  </si>
  <si>
    <r>
      <t xml:space="preserve">
</t>
    </r>
    <r>
      <rPr>
        <sz val="13"/>
        <color rgb="FFFF0000"/>
        <rFont val="Calibri"/>
        <family val="2"/>
      </rPr>
      <t xml:space="preserve">Audit plan 
</t>
    </r>
  </si>
  <si>
    <r>
      <t xml:space="preserve">
</t>
    </r>
    <r>
      <rPr>
        <sz val="13"/>
        <color rgb="FFFF0000"/>
        <rFont val="Calibri"/>
        <family val="2"/>
      </rPr>
      <t xml:space="preserve">RSPO Closing Meeting Record 
</t>
    </r>
  </si>
  <si>
    <r>
      <t xml:space="preserve">
</t>
    </r>
    <r>
      <rPr>
        <sz val="13"/>
        <color rgb="FFFF0000"/>
        <rFont val="Calibri"/>
        <family val="2"/>
      </rPr>
      <t xml:space="preserve">BV Meeting attendance list (acceptable for all BV templates) 
</t>
    </r>
  </si>
  <si>
    <t>ICC Technical Review</t>
  </si>
  <si>
    <t>ICC</t>
  </si>
  <si>
    <t>Audit Plan</t>
    <phoneticPr fontId="0" type="noConversion"/>
  </si>
  <si>
    <t>ANNEXE SUMMARY</t>
    <phoneticPr fontId="0" type="noConversion"/>
  </si>
  <si>
    <t>General Information</t>
    <phoneticPr fontId="0" type="noConversion"/>
  </si>
  <si>
    <t>Summary – Non conformance</t>
    <phoneticPr fontId="0" type="noConversion"/>
  </si>
  <si>
    <t>Quantity purchased and claimed</t>
    <phoneticPr fontId="0" type="noConversion"/>
  </si>
  <si>
    <t>Cover Page</t>
    <phoneticPr fontId="0" type="noConversion"/>
  </si>
  <si>
    <t>List of Sites Page</t>
    <phoneticPr fontId="0" type="noConversion"/>
  </si>
  <si>
    <t>Rules on Market Communication &amp; Claim Checklist</t>
    <phoneticPr fontId="0" type="noConversion"/>
  </si>
  <si>
    <t>Annex 1 - Yield Scheme
Annex 6 - Oleochemical</t>
    <phoneticPr fontId="0" type="noConversion"/>
  </si>
  <si>
    <t>GENERAL REQUIREMENTS</t>
    <phoneticPr fontId="0" type="noConversion"/>
  </si>
  <si>
    <t>Clause 5.3 - Provide clear reference to the procedures that auditor checked with date of documents/records
                   - Provide clear reference to relevant internal audit procedure and ensure that an internal audit is performed annually; 1 internal audit required between 2 BV audits;</t>
    <phoneticPr fontId="0" type="noConversion"/>
  </si>
  <si>
    <t>Clause 5.4 - Provide clear reference to purchase documents sampling checked
                   - list some of the suppliers that checked during audit with their certificate number
                   - make clear reference the company’s procedure related to non-conforming material</t>
    <phoneticPr fontId="0" type="noConversion"/>
  </si>
  <si>
    <t>Clause 5.5 – Outsourcing activity</t>
    <phoneticPr fontId="0" type="noConversion"/>
  </si>
  <si>
    <t>Clause 5.6 - Provide details of sales documented evidence that checked during audit</t>
    <phoneticPr fontId="0" type="noConversion"/>
  </si>
  <si>
    <t>Clause 5.7 - SC actors who are mills, traders, crushers and refineries shall register their transaction in Palm Trace
                    - Identify how the company is using Palm Trace</t>
    <phoneticPr fontId="0" type="noConversion"/>
  </si>
  <si>
    <t>Clause 5.8 – Reference to training plan, training records, training topic, information of the trainer/participants and etc.</t>
    <phoneticPr fontId="0" type="noConversion"/>
  </si>
  <si>
    <t>Clause 5.9 – Reference to the records checked during audit, clarify the organization’s retention period of the records</t>
  </si>
  <si>
    <t>4H</t>
  </si>
  <si>
    <t>Clause 5.10 – Describe conversion rate for the production of certified products (the amount of certified output available from the associated inputs)</t>
    <phoneticPr fontId="0" type="noConversion"/>
  </si>
  <si>
    <t>4I</t>
  </si>
  <si>
    <t>Clause 5.11 – Follow the requirement of RSPO rules on communications and claims</t>
    <phoneticPr fontId="0" type="noConversion"/>
  </si>
  <si>
    <t>4J</t>
  </si>
  <si>
    <t>Clause 5.12 – Provide reference to procedures for collecting and resolving stakeholder complaints</t>
    <phoneticPr fontId="0" type="noConversion"/>
  </si>
  <si>
    <t>4K</t>
  </si>
  <si>
    <t>SUPPLY CHAIN MODULES</t>
    <phoneticPr fontId="0" type="noConversion"/>
  </si>
  <si>
    <t>Module IP: RSPO certified oil palm product delivered to the end user is uniquely identifiable to a single RSPO certified mill and its certified supply base. Ensure the RSPO certified oil palm product is kept physically isolated from all other oil palm sources throughout the supply chain (including other RSPO CSPO sources).</t>
  </si>
  <si>
    <t>Module SG: RSPO certified oil palm products delivered to the end user come only from IP certified mills. Permits the mixing of RSPO certified oil palm products from a variety of certified sources</t>
    <phoneticPr fontId="0" type="noConversion"/>
  </si>
  <si>
    <t>Module MB: allows for mixing of RSPO and non-RSPO certified oil palm products at any stage in the supply chain provided that overall site quantities are controlled by using either continuous accounting system or fix inventory periods.
Continuous Accounting system - Ensure the quantity of physical RSPO MB material inputs and outputs at the physical site are monitored on a real-time basis and shall never overdrawn.
Fix Inventory periods – clarify the duration of fix inventory periods used by organization (e.g. 1month/2months/3months, not exceed 3 months)
                                       – ensure that the quantity of RSPO MB material inputs and outputs (volume or weight) are balanced within the company’s fixed inventory period
                                       – may overdraw data when there is evidence that RSPO mass balance purchases for delivery within the inventory period cover the RSPO output quantity supplied.
                                       – Unused credits can be carried over to the following fix inventory period</t>
  </si>
  <si>
    <t>MULTI-SITE</t>
  </si>
  <si>
    <t>A multi-site is a certification option for a group of sites that have a contractual link. The Central Office acting as ICS office is considered a participating site. Central Office that also has a production site is counted as one site.</t>
  </si>
  <si>
    <t>SF02 NC FORM</t>
    <phoneticPr fontId="0" type="noConversion"/>
  </si>
  <si>
    <t>NC clause / description and evidence observed</t>
    <phoneticPr fontId="0" type="noConversion"/>
  </si>
  <si>
    <t>Implementation Deadline and actual closure time</t>
    <phoneticPr fontId="0" type="noConversion"/>
  </si>
  <si>
    <t>RCA/C/CA filled by client</t>
  </si>
  <si>
    <t>Check certification scope in audit checklist and ensure it is relevant to (standard. products group. Modules)</t>
  </si>
  <si>
    <t>Verify that the NCR raised are correctly closed by the auditor</t>
  </si>
  <si>
    <t>Check the transaction quantity in Annex1</t>
  </si>
  <si>
    <t>Is certificate validity (Certificate Start Date and Certificate End Date) Updated in Audit Documents? Especially for MA and RA</t>
  </si>
  <si>
    <t>ICC Final Review</t>
  </si>
  <si>
    <t>GPC Database Update</t>
  </si>
  <si>
    <t>Have the ICC Tabs been validated into Database</t>
  </si>
  <si>
    <t>Palmtrace Section 1</t>
  </si>
  <si>
    <t>Type of Business is correct.</t>
  </si>
  <si>
    <t>Type of Certificate Holder is correct</t>
  </si>
  <si>
    <t>Processing Rights (if applicable) is updated</t>
  </si>
  <si>
    <t>Supply Chain Model is updated</t>
  </si>
  <si>
    <t>Multi Site Client name, address, SC Model (if applicable)</t>
  </si>
  <si>
    <t>Volume figures for Mill Clients  (if applicable)</t>
  </si>
  <si>
    <t>Palmtrace Section 2:</t>
  </si>
  <si>
    <t>Scope of Assessment matches with Certificate and Audit report.</t>
  </si>
  <si>
    <t>Previous License Volume Information updated</t>
  </si>
  <si>
    <t>Principles &amp; Criteria (if Applicable-Mills)
    1) Certified Mill Capacity (mt/hr)
    2) Previous License Volume Information
        i) CSPK
        ii)CSPO</t>
  </si>
  <si>
    <t>Palmtrace Section 3:</t>
  </si>
  <si>
    <t>Part C
Date of first RSPO certification 
Other certification scheme(s) this RSPO member (Client name) is certified for:</t>
  </si>
  <si>
    <t>a)  Date(s) of Audit:
b) Name of all Auditor(s)
c) Name of Lead Auditor
d) Checkbox for Compliance ticked</t>
  </si>
  <si>
    <t>Date of license submission</t>
  </si>
  <si>
    <t>License requested by</t>
  </si>
  <si>
    <t>NEXT YEAR CMX WORKFLOW</t>
  </si>
  <si>
    <t xml:space="preserve">Is new workflow created for next cycle? </t>
  </si>
  <si>
    <t>Next Year CMX Workflow ID:
(Update in comments Box)</t>
  </si>
  <si>
    <t>9C</t>
  </si>
  <si>
    <t>Is the new Workflow updated in the Notes section in CMX?</t>
  </si>
  <si>
    <t>3G</t>
  </si>
  <si>
    <t>Palmtrace Section 4:</t>
  </si>
  <si>
    <r>
      <rPr>
        <b/>
        <sz val="13"/>
        <color theme="1"/>
        <rFont val="Calibri"/>
        <family val="2"/>
      </rPr>
      <t>Part B</t>
    </r>
    <r>
      <rPr>
        <sz val="13"/>
        <color theme="1"/>
        <rFont val="Calibri"/>
        <family val="2"/>
      </rPr>
      <t xml:space="preserve">
Check if the following Audit documents are uploaded in Palm Trace
   a) Certificate with BV background
   b) Audit checklist (in PDF)
   c) Annex (in excel)
   d) Audit checklist (in excel)</t>
    </r>
  </si>
  <si>
    <r>
      <rPr>
        <b/>
        <u/>
        <sz val="14.5"/>
        <rFont val="Calibri"/>
        <family val="2"/>
      </rPr>
      <t>SIGNED CONTRACT</t>
    </r>
    <r>
      <rPr>
        <sz val="14.5"/>
        <color rgb="FF0070C0"/>
        <rFont val="Calibri"/>
        <family val="2"/>
      </rPr>
      <t xml:space="preserve">
</t>
    </r>
    <r>
      <rPr>
        <sz val="14.5"/>
        <color rgb="FFFF0000"/>
        <rFont val="Calibri"/>
        <family val="2"/>
      </rPr>
      <t>Note: please ensure the contract is reviewed at CR stage.</t>
    </r>
  </si>
  <si>
    <r>
      <t>DOCUMENT TEMPLATES</t>
    </r>
    <r>
      <rPr>
        <sz val="14.5"/>
        <color theme="1"/>
        <rFont val="Calibri"/>
        <family val="2"/>
      </rPr>
      <t xml:space="preserve">
CHECK IF ALL THE MANDATORY DOCUMENTS SHALL BE MADE AVAILABLE IN CMX 
NOTE: DO NOT RETURN THE TASK FOR OUTDATED TEMPLATES, EXCEPT AUDIT CHECKLIST &amp; ANNEXE 1 SUMMARY. SUBMIT THE TASK WITH OPEN DEFECTS</t>
    </r>
  </si>
  <si>
    <r>
      <t>PALMTRACE LICENSE STATUS</t>
    </r>
    <r>
      <rPr>
        <sz val="14.5"/>
        <color theme="1" tint="4.9989318521683403E-2"/>
        <rFont val="Calibri"/>
        <family val="2"/>
      </rPr>
      <t xml:space="preserve"> 
In case of Recertification/Surveillance/Special Audits, check for client's license status in Palm Trace database.</t>
    </r>
  </si>
  <si>
    <r>
      <t>TRAINEE AUDITOR</t>
    </r>
    <r>
      <rPr>
        <sz val="14.5"/>
        <color theme="1"/>
        <rFont val="Aptos Narrow"/>
        <family val="2"/>
        <scheme val="minor"/>
      </rPr>
      <t xml:space="preserve">
</t>
    </r>
  </si>
  <si>
    <r>
      <t>AUDITOR COMPETENCY</t>
    </r>
    <r>
      <rPr>
        <sz val="14.5"/>
        <color theme="1"/>
        <rFont val="Aptos Narrow"/>
        <family val="2"/>
        <scheme val="minor"/>
      </rPr>
      <t xml:space="preserve">
</t>
    </r>
  </si>
  <si>
    <r>
      <rPr>
        <b/>
        <u/>
        <sz val="14.5"/>
        <color theme="1" tint="4.9989318521683403E-2"/>
        <rFont val="Calibri"/>
        <family val="2"/>
      </rPr>
      <t>OFFSITE AUDIT</t>
    </r>
    <r>
      <rPr>
        <b/>
        <sz val="14.5"/>
        <color theme="1" tint="4.9989318521683403E-2"/>
        <rFont val="Calibri"/>
        <family val="2"/>
      </rPr>
      <t xml:space="preserve">
</t>
    </r>
  </si>
  <si>
    <r>
      <t>TRANSFER CLIENT</t>
    </r>
    <r>
      <rPr>
        <sz val="14.5"/>
        <color theme="1"/>
        <rFont val="Calibri"/>
        <family val="2"/>
      </rPr>
      <t xml:space="preserve">
</t>
    </r>
    <r>
      <rPr>
        <sz val="14.5"/>
        <rFont val="Calibri"/>
        <family val="2"/>
      </rPr>
      <t>Certificate issuance and inform RSPO Secretariat (in case of CB TRANSFER only)</t>
    </r>
  </si>
  <si>
    <r>
      <rPr>
        <b/>
        <u/>
        <sz val="14.5"/>
        <color theme="1"/>
        <rFont val="Aptos Narrow"/>
        <family val="2"/>
        <scheme val="minor"/>
      </rPr>
      <t>SIEBEL CONTRACT SET UP QUALITY CHECK</t>
    </r>
    <r>
      <rPr>
        <sz val="14.5"/>
        <color theme="1"/>
        <rFont val="Aptos Narrow"/>
        <family val="2"/>
        <scheme val="minor"/>
      </rPr>
      <t xml:space="preserve">
</t>
    </r>
  </si>
  <si>
    <r>
      <rPr>
        <b/>
        <u/>
        <sz val="14.5"/>
        <color theme="1"/>
        <rFont val="Aptos Narrow"/>
        <family val="2"/>
        <scheme val="minor"/>
      </rPr>
      <t>SIGNED CONTRACT QUALITY CHECK</t>
    </r>
    <r>
      <rPr>
        <sz val="14.5"/>
        <color theme="1"/>
        <rFont val="Aptos Narrow"/>
        <family val="2"/>
        <scheme val="minor"/>
      </rPr>
      <t xml:space="preserve">
</t>
    </r>
  </si>
  <si>
    <t>Client Name</t>
  </si>
  <si>
    <t>RSPO Member Id (Palm Trace Id)</t>
  </si>
  <si>
    <t>Certificate Number</t>
  </si>
  <si>
    <t xml:space="preserve">Number of supporting sites </t>
  </si>
  <si>
    <t>Trainee Lead auditor</t>
  </si>
  <si>
    <t>NC Closure date</t>
  </si>
  <si>
    <t>Check Auditor Rotation rule - Not more than 3 consecutive RSPO audits can be performed by the same auditor for the same client even if the auditor changes the CB. 
(This rule applies to all audits w.e.f 2022, as the rule was enforced in 2019).</t>
  </si>
  <si>
    <t xml:space="preserve">Certificate Request Form (mandatory for Main, Renewal) </t>
  </si>
  <si>
    <r>
      <t xml:space="preserve">AUDITOR INFORMATION
</t>
    </r>
    <r>
      <rPr>
        <sz val="14.5"/>
        <color rgb="FFFF0000"/>
        <rFont val="Calibri"/>
        <family val="2"/>
      </rPr>
      <t>Note: Auditor competence and Rotation rule shall be checked during Scheduling review</t>
    </r>
  </si>
  <si>
    <r>
      <t xml:space="preserve">SCHEDULING INFORMATION
</t>
    </r>
    <r>
      <rPr>
        <sz val="14.5"/>
        <color rgb="FFFF0000"/>
        <rFont val="Calibri"/>
        <family val="2"/>
      </rPr>
      <t>Note: Please check 8A during Scheduling review, reject to LO if not in compliance</t>
    </r>
  </si>
  <si>
    <t>Check if NCs are closed within the time line
a) Main Audit: closed within 3 months
b) Surveillance /Renewal Audit : closed within 1 month</t>
  </si>
  <si>
    <t xml:space="preserve">SF02 Non-conformity Report (if with NC) </t>
  </si>
  <si>
    <t>SF02 NON-CONFORMITY REPORT</t>
  </si>
  <si>
    <t>Have all the GPC review defects raised above been cleared</t>
  </si>
  <si>
    <t>SIGNED CONTRACT AVAILABILITY</t>
  </si>
  <si>
    <t>GPC/Scheduling Review</t>
  </si>
  <si>
    <t>GPC/Admin Review</t>
  </si>
  <si>
    <t>ICC/Final Review</t>
  </si>
  <si>
    <t>GPC/Database Update</t>
  </si>
  <si>
    <t>Parent company</t>
  </si>
  <si>
    <t>Supply Chain Module</t>
  </si>
  <si>
    <t xml:space="preserve">Performing country </t>
  </si>
  <si>
    <t xml:space="preserve">Audit type </t>
  </si>
  <si>
    <t>Audit start date</t>
  </si>
  <si>
    <t>Audit end date</t>
  </si>
  <si>
    <t>Total No. of Auditors</t>
  </si>
  <si>
    <t xml:space="preserve">License status in Palm Trace </t>
  </si>
  <si>
    <t>Certificate number</t>
  </si>
  <si>
    <t>Certificate start date</t>
  </si>
  <si>
    <t>Certificate expiry date</t>
  </si>
  <si>
    <t xml:space="preserve"> Number of supporting sites</t>
  </si>
  <si>
    <t>Final Audit report received date</t>
  </si>
  <si>
    <t>Auditor Team Member 1</t>
  </si>
  <si>
    <t>Auditor Team Member 2</t>
  </si>
  <si>
    <t>Auditor Team Member 3</t>
  </si>
  <si>
    <t>Auditor Team Member 4</t>
  </si>
  <si>
    <t>Number of Sites mentioned in the 'More info' tab in Siebel should be same as the number mentioned in the Signed contract.</t>
  </si>
  <si>
    <t>SIGNED CONTRACT QUALITY CHECK</t>
  </si>
  <si>
    <t>SIEBEL CONTRACT SET UP QUALITY CHECK</t>
  </si>
  <si>
    <t>TRANSFER CLIENT
Certificate issuance and inform RSPO Secretariat (in case of CB TRANSFER only)</t>
  </si>
  <si>
    <t>Check if the Audit if Confirmed, Frozen at the Scheduling Review stage</t>
  </si>
  <si>
    <t>In case of a Trainee auditor, Please check if he or she has been has been updated as Lead Auditor Trainee  in the Master SR-&gt;Activity-&gt;Additonal Role Column.</t>
  </si>
  <si>
    <t>OFFSITE AUDIT</t>
  </si>
  <si>
    <t>AUDITOR COMPETENCY</t>
  </si>
  <si>
    <t>TRAINEE AUDITOR</t>
  </si>
  <si>
    <t xml:space="preserve">PALMTRACE LICENSE STATUS </t>
  </si>
  <si>
    <t>Audit checklist/Report</t>
  </si>
  <si>
    <t>SF02 Non-conformity Report (if with NC)</t>
  </si>
  <si>
    <t>RSPO SCC Annex 1 Summary</t>
  </si>
  <si>
    <t>Audit plan</t>
  </si>
  <si>
    <t>RSPO Closing Meeting Record</t>
  </si>
  <si>
    <t>BV Meeting attendance list (acceptable for all BV templates)</t>
  </si>
  <si>
    <t>Certificate Request Form (mandatory for Main, Renewal)</t>
  </si>
  <si>
    <t>Check if the Sales contract is signed and dated by the client and BVC legal entity. The same shall be available in Siebel &amp; CMX.</t>
  </si>
  <si>
    <t>During the Review, if reviewer identifies any change in Client name or Supporting site addition then Complimentary signed contract is required and the same should be availlable in CMX and Siebel.</t>
  </si>
  <si>
    <t>Client name appearing in Palm Trace database is consistent with Audit checklist.</t>
  </si>
  <si>
    <t>Address appearing in Palm Trace database is consistent with Audit checklist.</t>
  </si>
  <si>
    <t>Check if the Supply chain Model updated in Audit checklist matches with Annexe 1 Summary.</t>
  </si>
  <si>
    <t>Check If the audit type updated in Audit checklist is correctly updated as per the client's audit cycle, and is consistent with Siebel and CMX.</t>
  </si>
  <si>
    <t>Check if the audit dates updated in Audit checklist is consistent with Siebel and CMX.</t>
  </si>
  <si>
    <t>In case there is subcontractor mentioned in audit checklist (5.5), Please check the application form, the Section 2: Information of ALL Subcontractors for RSPO certified products cannot be “NA”.</t>
  </si>
  <si>
    <t>Check if the all the Sites of the client is updated in the list of Sites tab in the Audit checlist. (Cross check with Existing Certificate (if available) and the Proposal Review checklist (original and complementary).</t>
  </si>
  <si>
    <t xml:space="preserve">Check the audit dates for sampling sites updated in the list of Sites tab are consisitent with Siebel. </t>
  </si>
  <si>
    <t>Check if the Audit format in Audit Plan is consistent with Siebel. (Onsite/Offsite)</t>
  </si>
  <si>
    <t>Audit visit Mandays performed are consistent with the approved signed contract/Complimentary Signed Contract.</t>
  </si>
  <si>
    <t>Check if the Lead auditor and team members updated in Audit checklist and Audit Plan are qualified in Siebel and available in the Auditor Competence Sheet available with GPC. (Not applicable for Trainee auditors)</t>
  </si>
  <si>
    <t>Check if the auditor has performed not more than 3 consecutive audits for the same client at the same site(count starts from 2019, however, applicable from 2022). (This rule does not apply for Witness auditor and Observers)</t>
  </si>
  <si>
    <t>Check if the audit is scheduled between 8 and 12 months from license’s expiration date. (Rule not applicable for Main/Renewal Audit)-
- For audits performed prior to 8 months or after License expiry,  ICC's decision required for further action.</t>
  </si>
  <si>
    <t>In case of Surveillance/Renewal/Special Audits, check for client's license status in Palm Trace database. If the license is nearing the expiry then take GPM's approval and submit the license extension request in Palm Trace database.</t>
  </si>
  <si>
    <t>Check if the all the details are approprately updated in the Meeting attendance list (including Signature of the participants)</t>
  </si>
  <si>
    <t>Check if the all the details are approprately updated in the Closing Meeting record (including Signature of the Client representative and Auditor)</t>
  </si>
  <si>
    <t>Please check if the existing Certificate can be maintained or if a Revised Certificate is to be issued.</t>
  </si>
  <si>
    <t>If Revised Certificate has to be issued, then specify the reason for the same in the comments box.</t>
  </si>
  <si>
    <t>Is draft certificate appropriately generated in Siebel and uploaded by GPC in CMX?</t>
  </si>
  <si>
    <t>DOCUMENT TEMPLATES</t>
  </si>
  <si>
    <t>SIGNED CONTRACT</t>
  </si>
  <si>
    <t>PALMTRACE</t>
  </si>
  <si>
    <t>AUDIT CHECKLIST</t>
  </si>
  <si>
    <t>MULTI-SITE CLIENT</t>
  </si>
  <si>
    <t>AUDITOR INFORMATION</t>
  </si>
  <si>
    <t>SCHEDULING INFORMATION</t>
  </si>
  <si>
    <t>SUPPORTING DOCUMENTS</t>
  </si>
  <si>
    <t>DRAFT CERTIFICATE</t>
  </si>
  <si>
    <t>Part A
a) Assessment Type:
b) Member Certificate Number:
C) Start and end date of License
d) Standard Audited:</t>
  </si>
  <si>
    <t>Part B
Check if the following Audit documents are uploaded in Palm Trace
   a) Certificate with BV background
   b) Audit checklist (in PDF)
   c) Annex (in excel)
   d) Audit checklist (in excel)</t>
  </si>
  <si>
    <t>Palmtrace Section 2</t>
  </si>
  <si>
    <t>Palmtrace Section 3</t>
  </si>
  <si>
    <t>Palmtrace Section 4</t>
  </si>
  <si>
    <t>Audit Plan</t>
  </si>
  <si>
    <t>General Information</t>
  </si>
  <si>
    <t>Summary – Non conformance</t>
  </si>
  <si>
    <t>Quantity purchased and claimed</t>
  </si>
  <si>
    <t>Cover Page</t>
  </si>
  <si>
    <t>List of Sites Page</t>
  </si>
  <si>
    <t>Rules on Market Communication &amp; Claim Checklist</t>
  </si>
  <si>
    <t>Annex 1 - Yield Scheme
Annex 6 - Oleochemical</t>
  </si>
  <si>
    <t>Clause 5.3 - Provide clear reference to the procedures that auditor checked with date of documents/records
                   - Provide clear reference to relevant internal audit procedure and ensure that an internal audit is performed annually; 1 internal audit required between 2 BV audits;</t>
  </si>
  <si>
    <t>Clause 5.4 - Provide clear reference to purchase documents sampling checked
                   - list some of the suppliers that checked during audit with their certificate number
                   - make clear reference the company’s procedure related to non-conforming material</t>
  </si>
  <si>
    <t>Clause 5.5 – Outsourcing activity</t>
  </si>
  <si>
    <t>Clause 5.6 - Provide details of sales documented evidence that checked during audit</t>
  </si>
  <si>
    <t>Clause 5.7 - SC actors who are mills, traders, crushers and refineries shall register their transaction in Palm Trace
                    - Identify how the company is using Palm Trace</t>
  </si>
  <si>
    <t>Clause 5.8 – Reference to training plan, training records, training topic, information of the trainer/participants and etc.</t>
  </si>
  <si>
    <t>Clause 5.10 – Describe conversion rate for the production of certified products (the amount of certified output available from the associated inputs)</t>
  </si>
  <si>
    <t>Clause 5.11 – Follow the requirement of RSPO rules on communications and claims</t>
  </si>
  <si>
    <t>Clause 5.12 – Provide reference to procedures for collecting and resolving stakeholder complaints</t>
  </si>
  <si>
    <t>Clause 5.13 - Provide dates of management review and internal audit
                  - Provide evidence checked to demonstrate compliance of requirement</t>
  </si>
  <si>
    <t>Module SG: RSPO certified oil palm products delivered to the end user come only from IP certified mills. Permits the mixing of RSPO certified oil palm products from a variety of certified sources</t>
  </si>
  <si>
    <t>NC clause / description and evidence observed</t>
  </si>
  <si>
    <t>Implementation Deadline and actual closure time</t>
  </si>
  <si>
    <t>ANNEXE SUMMARY</t>
  </si>
  <si>
    <t>GENERAL REQUIREMENTS</t>
  </si>
  <si>
    <t>SUPPLY CHAIN MODULES</t>
  </si>
  <si>
    <t>SF02 NC FORM</t>
  </si>
  <si>
    <t>Check if the Transfer documents in CMX:
a) Previous CB Audit Report, 
b)Annexe 1 Summary and 
c)Previous CB Certificate
d)Recent NC report (if applicable)
e)Transfer application letter (signed by client)</t>
  </si>
  <si>
    <t>Lakey Li</t>
  </si>
  <si>
    <t>(Rule not applicable for Main/Renewal Audit)
1.Check if the ASA1 audit (1st Surveillance audit after Initial audit) is scheduled between 8 and 12 months from the Certificate issuance date.
2.Check if the Subsequent SV audits are scheduled between 8 to 12 months from the License expiry date. 
3.NOTE:
a)For audits scheduled after 12 months (after the original license expiration date) - inform LO to clarify the issue and keep ICC in copy, ICC to decide whether to approve license extension or License suspension.
b)For audits scheduled after the extended license expiration date - GPC to initiate certificate suspension process immediately in CMX and inform LO on email, keeping ICC in copy.
c)For audits scheduled prior to 8 months - raise defect in checklist and return to LO.
d)Audit scheduled slightly before license expiration date - GPC to apply license extension in Palm Trace (Maximum 3 month extension limit)</t>
  </si>
  <si>
    <r>
      <t xml:space="preserve">Part A
</t>
    </r>
    <r>
      <rPr>
        <sz val="13"/>
        <color theme="1"/>
        <rFont val="Calibri"/>
        <family val="2"/>
      </rPr>
      <t xml:space="preserve">a) Assessment Type:
b) Member Certificate Number:
c) Start and end date of License </t>
    </r>
    <r>
      <rPr>
        <b/>
        <sz val="13"/>
        <color theme="1"/>
        <rFont val="Calibri"/>
        <family val="2"/>
      </rPr>
      <t xml:space="preserve">(For Initial audit, Please check if the Start date of the Certificate is the same as the Certificate issuance date)
</t>
    </r>
    <r>
      <rPr>
        <sz val="13"/>
        <color theme="1"/>
        <rFont val="Calibri"/>
        <family val="2"/>
      </rPr>
      <t>d) Standard Audited:</t>
    </r>
  </si>
  <si>
    <t>Check if there is any pending defect that impacts a positive certification decision</t>
  </si>
  <si>
    <t>←Please update the 1st time assigned date in DD/MM/YYYY format</t>
  </si>
  <si>
    <t>a.	Check if the Contract Annexe has the Client’s Seal or Acceptance signature. OR 
b.	Email evidence of sending the Contract Annexe to the client is uploaded in CMX.</t>
  </si>
  <si>
    <t>Check the company info/site number/address/scope/SC model/Man-day distribution (MA and SV) in signed contract SHALL keep the SAME as final approved PR checklist, Application form and Draft Contract which approved by Proposal reviewer.</t>
  </si>
  <si>
    <t>Check if the audit dates updated in CMX are consistent with approved  man days in the signed contract. (For Mandays calculation, only 'Audit visit' Mandays, updated in Siebel, shall be considered)</t>
  </si>
  <si>
    <t>For multi-site, check sampling sites planned in Siebel is consistent with approved Proposal Review checklist.</t>
  </si>
  <si>
    <t>←Please update the date in DD/MM/YYYY format</t>
  </si>
  <si>
    <t>License Req by</t>
  </si>
  <si>
    <t>BOB WANG</t>
  </si>
  <si>
    <t>Check If the audit has been scheduled as Offsite in Siebel (Master SR-&gt;Activity/Child SR-&gt;Sub Type-&gt;Visit Offsite).
In case of Offsite audit, please check if the Remote audit form and GPM approval email is uploaded in CMX</t>
  </si>
  <si>
    <t>Check if the latest Application Reviewer approved checklist is uploaded in CMX (If not available in Surveillance audit workflow, then please take it from the Client's Initial / Renewal audit or previous CMX workflows from the same audit cycle)</t>
  </si>
  <si>
    <t>Date of 1st Assignment</t>
  </si>
  <si>
    <t>Check if the latest Application Reviewer approved checklist is uploaded in CMX (If not available in Surveillance audit workflow, then please take it from the Client's Initial / Renewal audit or previous CMX workflows from the same audit cycle) Client's Initial / Renewal audit or previous CMX workflows from the same audit cycle)</t>
  </si>
  <si>
    <t xml:space="preserve">Certification contract SHALL NOT be signed with the DATE before Application Review Approval and Transfer Review Approval (if applicable).   </t>
  </si>
  <si>
    <t xml:space="preserve">Check if the auditor is qualified as per Auditor competence(y) list maintained by GPC. (In case of lack of refresher training/witness audit, please inform LO and Technical Manager/ Technical Manager will decide the appropriate action.)
</t>
  </si>
  <si>
    <t>Check if Proposal Reviewer approved checklist is received prior to Initial Audit, Renewal Audit, SC Model change, Site addition &amp; Special audit. Date of acceptance by the Client in the Signed Contract/ Complementary Contract shall be after the ICC approved Proposal Review checklist.</t>
  </si>
  <si>
    <t xml:space="preserve"> Technical Review</t>
  </si>
  <si>
    <t>To be filled by Technical Reviewer</t>
  </si>
  <si>
    <t xml:space="preserve"> Final Review</t>
  </si>
  <si>
    <t>To be filled by Final Reviewer</t>
  </si>
  <si>
    <t>Check if the auditor is qualified as per Auditor competence(y) list maintained by GPC. (In case of lack of refresher training/witness audit, please inform LO and Technical Manager/ Technical Manager will decide the appropriate action.)</t>
  </si>
  <si>
    <t>Technical Review</t>
  </si>
  <si>
    <t>Please check if checkpoints in Column D in the Rules on Market C&amp;C Tab is filled.
(Note: In case the Column D is only partially filled, make a note in the comments box and submit to ICC without raising defect.)</t>
  </si>
  <si>
    <t>Check if all pending defects that impacts a positive certification decision have been cleared.</t>
  </si>
  <si>
    <r>
      <rPr>
        <sz val="13"/>
        <color rgb="FF0070C0"/>
        <rFont val="Calibri"/>
        <family val="2"/>
      </rPr>
      <t xml:space="preserve">a.	Check if the Lead auditor and team members mentioned in Audit checklist are consistent with Siebel and CMX. </t>
    </r>
    <r>
      <rPr>
        <sz val="13"/>
        <color rgb="FF00B050"/>
        <rFont val="Calibri"/>
        <family val="2"/>
      </rPr>
      <t xml:space="preserve">
b.	Please check if the Auditor name is updated in Cell G65 in Summary Report tab in Audit checklist. </t>
    </r>
  </si>
  <si>
    <t>Michail Arampatzis Public Limited Industrial and Commercial Food Company</t>
  </si>
  <si>
    <t>1st Road, Industrial Area of Thessaloniki, GR 57022, Sindos 57022 Sindos Greece</t>
  </si>
  <si>
    <t>Product Manufacturer</t>
  </si>
  <si>
    <t>str-e4dbc747ed0b41ac9eb7d42928aebd5f</t>
  </si>
  <si>
    <t>1-20295433781</t>
  </si>
  <si>
    <t>No Defects</t>
  </si>
  <si>
    <t>Final Review ICC</t>
  </si>
  <si>
    <t xml:space="preserve"> Review Checklist</t>
  </si>
  <si>
    <t>RSPO Review checklist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</si>
</sst>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4" x14ac:knownFonts="1">
    <font>
      <sz val="11"/>
      <color theme="1"/>
      <name val="Aptos Narrow"/>
      <family val="2"/>
      <scheme val="minor"/>
    </font>
    <font>
      <sz val="11"/>
      <color theme="1"/>
      <name val="Aptos Narrow"/>
      <family val="2"/>
      <scheme val="minor"/>
    </font>
    <font>
      <b/>
      <sz val="11"/>
      <color theme="1"/>
      <name val="Times New Roman"/>
      <family val="1"/>
    </font>
    <font>
      <sz val="12"/>
      <color theme="1"/>
      <name val="Calibri"/>
      <family val="2"/>
    </font>
    <font>
      <b/>
      <sz val="12"/>
      <color theme="1"/>
      <name val="Calibri"/>
      <family val="2"/>
    </font>
    <font>
      <b/>
      <sz val="12"/>
      <color theme="0"/>
      <name val="Calibri"/>
      <family val="2"/>
    </font>
    <font>
      <b/>
      <sz val="26"/>
      <color theme="0"/>
      <name val="Calibri"/>
      <family val="2"/>
    </font>
    <font>
      <b/>
      <sz val="10"/>
      <name val="Calibri"/>
      <family val="2"/>
    </font>
    <font>
      <sz val="10"/>
      <name val="Calibri"/>
      <family val="2"/>
    </font>
    <font>
      <b/>
      <sz val="12"/>
      <name val="Calibri"/>
      <family val="2"/>
    </font>
    <font>
      <b/>
      <u/>
      <sz val="14"/>
      <color theme="1"/>
      <name val="Calibri"/>
      <family val="2"/>
    </font>
    <font>
      <sz val="15"/>
      <name val="Aptos Narrow"/>
      <family val="2"/>
      <scheme val="minor"/>
    </font>
    <font>
      <sz val="15"/>
      <color theme="1"/>
      <name val="Aptos Narrow"/>
      <family val="2"/>
      <scheme val="minor"/>
    </font>
    <font>
      <b/>
      <sz val="15"/>
      <name val="Aptos Narrow"/>
      <family val="2"/>
      <scheme val="minor"/>
    </font>
    <font>
      <sz val="15"/>
      <color theme="1" tint="4.9989318521683403E-2"/>
      <name val="Aptos Narrow"/>
      <family val="2"/>
      <scheme val="minor"/>
    </font>
    <font>
      <sz val="12"/>
      <name val="Calibri"/>
      <family val="2"/>
    </font>
    <font>
      <sz val="12"/>
      <color rgb="FFFF0000"/>
      <name val="Calibri"/>
      <family val="2"/>
    </font>
    <font>
      <sz val="15"/>
      <color rgb="FF00B050"/>
      <name val="Aptos Narrow"/>
      <family val="2"/>
      <scheme val="minor"/>
    </font>
    <font>
      <sz val="15"/>
      <color rgb="FFFF0000"/>
      <name val="Aptos Narrow"/>
      <family val="2"/>
      <scheme val="minor"/>
    </font>
    <font>
      <b/>
      <sz val="14"/>
      <name val="Calibri"/>
      <family val="2"/>
    </font>
    <font>
      <sz val="13"/>
      <color theme="1"/>
      <name val="Calibri"/>
      <family val="2"/>
    </font>
    <font>
      <sz val="13"/>
      <color rgb="FFFF0000"/>
      <name val="Calibri"/>
      <family val="2"/>
    </font>
    <font>
      <sz val="13"/>
      <color rgb="FF00B050"/>
      <name val="Calibri"/>
      <family val="2"/>
    </font>
    <font>
      <sz val="13"/>
      <name val="Calibri"/>
      <family val="2"/>
    </font>
    <font>
      <b/>
      <u/>
      <sz val="14"/>
      <color theme="1" tint="4.9989318521683403E-2"/>
      <name val="Calibri"/>
      <family val="2"/>
    </font>
    <font>
      <b/>
      <sz val="13"/>
      <name val="Calibri"/>
      <family val="2"/>
    </font>
    <font>
      <b/>
      <u/>
      <sz val="13"/>
      <color theme="1"/>
      <name val="Calibri"/>
      <family val="2"/>
    </font>
    <font>
      <sz val="13"/>
      <color rgb="FF0070C0"/>
      <name val="Calibri"/>
      <family val="2"/>
    </font>
    <font>
      <sz val="13"/>
      <color theme="5"/>
      <name val="Calibri"/>
      <family val="2"/>
    </font>
    <font>
      <sz val="13"/>
      <color theme="4"/>
      <name val="Calibri"/>
      <family val="2"/>
    </font>
    <font>
      <sz val="14"/>
      <color theme="1"/>
      <name val="Calibri"/>
      <family val="2"/>
    </font>
    <font>
      <sz val="14"/>
      <color rgb="FF0070C0"/>
      <name val="Calibri"/>
      <family val="2"/>
    </font>
    <font>
      <b/>
      <u/>
      <sz val="14"/>
      <name val="Calibri"/>
      <family val="2"/>
    </font>
    <font>
      <b/>
      <sz val="13"/>
      <color theme="1"/>
      <name val="Calibri"/>
      <family val="2"/>
    </font>
    <font>
      <b/>
      <sz val="16"/>
      <color theme="1"/>
      <name val="Calibri"/>
      <family val="2"/>
    </font>
    <font>
      <b/>
      <u/>
      <sz val="16"/>
      <color theme="1"/>
      <name val="Calibri"/>
      <family val="2"/>
    </font>
    <font>
      <b/>
      <u/>
      <sz val="14.5"/>
      <color theme="1"/>
      <name val="Calibri"/>
      <family val="2"/>
    </font>
    <font>
      <b/>
      <sz val="14.5"/>
      <name val="Calibri"/>
      <family val="2"/>
    </font>
    <font>
      <b/>
      <u/>
      <sz val="14.5"/>
      <name val="Calibri"/>
      <family val="2"/>
    </font>
    <font>
      <sz val="14.5"/>
      <color rgb="FFFF0000"/>
      <name val="Calibri"/>
      <family val="2"/>
    </font>
    <font>
      <sz val="14.5"/>
      <color rgb="FF0070C0"/>
      <name val="Calibri"/>
      <family val="2"/>
    </font>
    <font>
      <sz val="14.5"/>
      <color theme="1"/>
      <name val="Calibri"/>
      <family val="2"/>
    </font>
    <font>
      <b/>
      <u/>
      <sz val="14.5"/>
      <color theme="1" tint="4.9989318521683403E-2"/>
      <name val="Calibri"/>
      <family val="2"/>
    </font>
    <font>
      <sz val="14.5"/>
      <color theme="1" tint="4.9989318521683403E-2"/>
      <name val="Calibri"/>
      <family val="2"/>
    </font>
    <font>
      <sz val="14.5"/>
      <color theme="1"/>
      <name val="Aptos Narrow"/>
      <family val="2"/>
      <scheme val="minor"/>
    </font>
    <font>
      <b/>
      <sz val="14.5"/>
      <color theme="1" tint="4.9989318521683403E-2"/>
      <name val="Calibri"/>
      <family val="2"/>
    </font>
    <font>
      <sz val="14.5"/>
      <name val="Calibri"/>
      <family val="2"/>
    </font>
    <font>
      <b/>
      <u/>
      <sz val="14.5"/>
      <color theme="1"/>
      <name val="Aptos Narrow"/>
      <family val="2"/>
      <scheme val="minor"/>
    </font>
    <font>
      <sz val="14"/>
      <color theme="1"/>
      <name val="Aptos Narrow"/>
      <family val="2"/>
      <scheme val="minor"/>
    </font>
    <font>
      <sz val="11"/>
      <name val="Aptos Narrow"/>
      <family val="2"/>
      <scheme val="minor"/>
    </font>
    <font>
      <b/>
      <sz val="10"/>
      <color theme="1"/>
      <name val="Aptos Narrow"/>
      <family val="2"/>
      <scheme val="minor"/>
    </font>
    <font>
      <sz val="11"/>
      <color rgb="FF000000"/>
      <name val="Aptos Narrow"/>
      <family val="2"/>
    </font>
    <font>
      <sz val="11"/>
      <color theme="0"/>
      <name val="Aptos Narrow"/>
      <family val="2"/>
      <scheme val="minor"/>
    </font>
    <font>
      <b/>
      <sz val="11"/>
      <color theme="1"/>
      <name val="Calibri"/>
      <family val="2"/>
    </font>
  </fonts>
  <fills count="26">
    <fill>
      <patternFill patternType="none"/>
    </fill>
    <fill>
      <patternFill patternType="gray125"/>
    </fill>
    <fill>
      <patternFill patternType="solid">
        <fgColor theme="9"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theme="0"/>
        <bgColor indexed="64"/>
      </patternFill>
    </fill>
    <fill>
      <patternFill patternType="solid">
        <fgColor rgb="FFFF0000"/>
        <bgColor indexed="64"/>
      </patternFill>
    </fill>
    <fill>
      <patternFill patternType="solid">
        <fgColor theme="5"/>
        <bgColor indexed="64"/>
      </patternFill>
    </fill>
    <fill>
      <patternFill patternType="solid">
        <fgColor rgb="FF00B0F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gradientFill type="path" left="0.5" right="0.5" top="0.5" bottom="0.5">
        <stop position="0">
          <color theme="3" tint="0.89803765984069339"/>
        </stop>
        <stop position="1">
          <color theme="5" tint="-0.49803155613879818"/>
        </stop>
      </gradientFill>
    </fill>
    <fill>
      <gradientFill type="path" left="0.5" right="0.5" top="0.5" bottom="0.5">
        <stop position="0">
          <color theme="8" tint="0.80001220740379042"/>
        </stop>
        <stop position="1">
          <color theme="3" tint="0.89803765984069339"/>
        </stop>
      </gradientFill>
    </fill>
    <fill>
      <gradientFill>
        <stop position="0">
          <color theme="3" tint="0.89803765984069339"/>
        </stop>
        <stop position="1">
          <color theme="8" tint="0.80001220740379042"/>
        </stop>
      </gradientFill>
    </fill>
    <fill>
      <gradientFill degree="135">
        <stop position="0">
          <color theme="3" tint="0.89803765984069339"/>
        </stop>
        <stop position="1">
          <color theme="8" tint="0.80001220740379042"/>
        </stop>
      </gradientFill>
    </fill>
    <fill>
      <gradientFill degree="90">
        <stop position="0">
          <color theme="0" tint="-0.25098422193060094"/>
        </stop>
        <stop position="1">
          <color theme="5" tint="0.80001220740379042"/>
        </stop>
      </gradientFill>
    </fill>
    <fill>
      <gradientFill type="path" left="0.5" right="0.5" top="0.5" bottom="0.5">
        <stop position="0">
          <color theme="5" tint="0.80001220740379042"/>
        </stop>
        <stop position="1">
          <color theme="0" tint="-0.25098422193060094"/>
        </stop>
      </gradientFill>
    </fill>
    <fill>
      <gradientFill degree="90">
        <stop position="0">
          <color theme="8" tint="0.80001220740379042"/>
        </stop>
        <stop position="1">
          <color theme="0" tint="-5.0965910824915313E-2"/>
        </stop>
      </gradientFill>
    </fill>
    <fill>
      <gradientFill degree="90">
        <stop position="0">
          <color theme="8" tint="0.80001220740379042"/>
        </stop>
        <stop position="1">
          <color theme="0"/>
        </stop>
      </gradientFill>
    </fill>
    <fill>
      <gradientFill degree="90">
        <stop position="0">
          <color theme="8" tint="-0.25098422193060094"/>
        </stop>
        <stop position="1">
          <color theme="0" tint="-0.25098422193060094"/>
        </stop>
      </gradientFill>
    </fill>
    <fill>
      <gradientFill type="path" left="0.5" right="0.5" top="0.5" bottom="0.5">
        <stop position="0">
          <color theme="0" tint="-0.1490218817712943"/>
        </stop>
        <stop position="1">
          <color theme="8" tint="0.59999389629810485"/>
        </stop>
      </gradientFill>
    </fill>
    <fill>
      <gradientFill degree="90">
        <stop position="0">
          <color theme="8" tint="-0.25098422193060094"/>
        </stop>
        <stop position="1">
          <color theme="0" tint="-5.0965910824915313E-2"/>
        </stop>
      </gradientFill>
    </fill>
    <fill>
      <gradientFill degree="90">
        <stop position="0">
          <color rgb="FFFFC000"/>
        </stop>
        <stop position="1">
          <color theme="0" tint="-5.0965910824915313E-2"/>
        </stop>
      </gradientFill>
    </fill>
    <fill>
      <gradientFill degree="90">
        <stop position="0">
          <color rgb="FF7030A0"/>
        </stop>
        <stop position="1">
          <color theme="7" tint="-0.49803155613879818"/>
        </stop>
      </gradientFill>
    </fill>
    <fill>
      <patternFill patternType="solid">
        <fgColor rgb="FFFFFF00"/>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indexed="64"/>
      </top>
      <bottom/>
      <diagonal/>
    </border>
    <border>
      <left style="medium">
        <color indexed="64"/>
      </left>
      <right style="thin">
        <color rgb="FFFF0000"/>
      </right>
      <top style="medium">
        <color indexed="64"/>
      </top>
      <bottom style="thin">
        <color rgb="FFFF0000"/>
      </bottom>
      <diagonal/>
    </border>
    <border>
      <left style="thin">
        <color rgb="FFFF0000"/>
      </left>
      <right style="thin">
        <color rgb="FFFF0000"/>
      </right>
      <top style="medium">
        <color indexed="64"/>
      </top>
      <bottom style="thin">
        <color rgb="FFFF0000"/>
      </bottom>
      <diagonal/>
    </border>
    <border>
      <left style="medium">
        <color indexed="64"/>
      </left>
      <right style="thin">
        <color rgb="FFFF0000"/>
      </right>
      <top style="thin">
        <color rgb="FFFF0000"/>
      </top>
      <bottom style="thin">
        <color rgb="FFFF0000"/>
      </bottom>
      <diagonal/>
    </border>
    <border>
      <left style="thin">
        <color theme="0"/>
      </left>
      <right style="thin">
        <color theme="0"/>
      </right>
      <top style="thin">
        <color theme="0"/>
      </top>
      <bottom style="thin">
        <color theme="0"/>
      </bottom>
      <diagonal/>
    </border>
    <border>
      <left style="thin">
        <color rgb="FFFF0000"/>
      </left>
      <right/>
      <top style="medium">
        <color indexed="64"/>
      </top>
      <bottom style="thin">
        <color rgb="FFFF0000"/>
      </bottom>
      <diagonal/>
    </border>
    <border>
      <left style="thin">
        <color rgb="FFFF0000"/>
      </left>
      <right/>
      <top style="thin">
        <color rgb="FFFF0000"/>
      </top>
      <bottom style="thin">
        <color rgb="FFFF000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medium">
        <color indexed="64"/>
      </right>
      <top style="thin">
        <color theme="0"/>
      </top>
      <bottom style="thin">
        <color theme="0"/>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rgb="FFFF0000"/>
      </right>
      <top style="thin">
        <color rgb="FFFF0000"/>
      </top>
      <bottom style="medium">
        <color indexed="64"/>
      </bottom>
      <diagonal/>
    </border>
    <border>
      <left style="thin">
        <color rgb="FFFF0000"/>
      </left>
      <right style="thin">
        <color rgb="FFFF0000"/>
      </right>
      <top style="thin">
        <color rgb="FFFF0000"/>
      </top>
      <bottom style="medium">
        <color indexed="64"/>
      </bottom>
      <diagonal/>
    </border>
    <border>
      <left style="thin">
        <color rgb="FFFF0000"/>
      </left>
      <right/>
      <top style="thin">
        <color rgb="FFFF000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thin">
        <color indexed="64"/>
      </left>
      <right/>
      <top/>
      <bottom style="thin">
        <color indexed="64"/>
      </bottom>
      <diagonal/>
    </border>
    <border>
      <left style="medium">
        <color indexed="64"/>
      </left>
      <right/>
      <top style="medium">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style="thin">
        <color theme="0"/>
      </right>
      <top style="thin">
        <color indexed="64"/>
      </top>
      <bottom style="thin">
        <color indexed="64"/>
      </bottom>
      <diagonal/>
    </border>
    <border>
      <left/>
      <right style="thin">
        <color theme="0"/>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medium">
        <color indexed="64"/>
      </right>
      <top/>
      <bottom style="thin">
        <color indexed="64"/>
      </bottom>
      <diagonal/>
    </border>
    <border>
      <left/>
      <right style="thin">
        <color theme="0"/>
      </right>
      <top/>
      <bottom/>
      <diagonal/>
    </border>
    <border>
      <left style="medium">
        <color indexed="64"/>
      </left>
      <right/>
      <top style="thin">
        <color indexed="64"/>
      </top>
      <bottom style="medium">
        <color indexed="64"/>
      </bottom>
      <diagonal/>
    </border>
  </borders>
  <cellStyleXfs count="2">
    <xf numFmtId="0" fontId="0" fillId="0" borderId="0"/>
    <xf numFmtId="0" fontId="1" fillId="0" borderId="0"/>
  </cellStyleXfs>
  <cellXfs count="284">
    <xf numFmtId="0" fontId="0" fillId="0" borderId="0" xfId="0"/>
    <xf numFmtId="0" fontId="2" fillId="2" borderId="1" xfId="1" applyFont="1" applyFill="1" applyBorder="1" applyAlignment="1">
      <alignment horizontal="center" vertical="center" wrapText="1"/>
    </xf>
    <xf numFmtId="0" fontId="2" fillId="2" borderId="2" xfId="1" applyFont="1" applyFill="1" applyBorder="1" applyAlignment="1">
      <alignment horizontal="center" vertical="center" wrapText="1"/>
    </xf>
    <xf numFmtId="0" fontId="2" fillId="2" borderId="3" xfId="1" applyFont="1" applyFill="1" applyBorder="1" applyAlignment="1">
      <alignment horizontal="center" vertical="center" wrapText="1"/>
    </xf>
    <xf numFmtId="0" fontId="4" fillId="0" borderId="4" xfId="0" applyFont="1" applyBorder="1"/>
    <xf numFmtId="164" fontId="4" fillId="0" borderId="5" xfId="0" applyNumberFormat="1" applyFont="1" applyBorder="1"/>
    <xf numFmtId="17" fontId="4" fillId="0" borderId="5" xfId="0" applyNumberFormat="1" applyFont="1" applyBorder="1"/>
    <xf numFmtId="0" fontId="0" fillId="0" borderId="5" xfId="0" applyBorder="1"/>
    <xf numFmtId="0" fontId="0" fillId="0" borderId="7" xfId="0" applyBorder="1"/>
    <xf numFmtId="0" fontId="7" fillId="4" borderId="50" xfId="0" applyFont="1" applyFill="1" applyBorder="1" applyAlignment="1">
      <alignment vertical="center" wrapText="1"/>
    </xf>
    <xf numFmtId="0" fontId="12" fillId="0" borderId="9" xfId="0" applyFont="1" applyBorder="1" applyAlignment="1">
      <alignment vertical="center" wrapText="1"/>
    </xf>
    <xf numFmtId="0" fontId="13" fillId="2" borderId="9" xfId="0" applyFont="1" applyFill="1" applyBorder="1" applyAlignment="1">
      <alignment vertical="center"/>
    </xf>
    <xf numFmtId="0" fontId="12" fillId="0" borderId="46" xfId="0" applyFont="1" applyBorder="1" applyAlignment="1">
      <alignment vertical="center" wrapText="1"/>
    </xf>
    <xf numFmtId="0" fontId="28" fillId="0" borderId="46" xfId="0" applyFont="1" applyBorder="1" applyAlignment="1">
      <alignment vertical="center" wrapText="1"/>
    </xf>
    <xf numFmtId="0" fontId="22" fillId="0" borderId="5" xfId="0" applyFont="1" applyBorder="1" applyAlignment="1">
      <alignment vertical="center" wrapText="1"/>
    </xf>
    <xf numFmtId="0" fontId="20" fillId="0" borderId="49" xfId="0" applyFont="1" applyBorder="1" applyAlignment="1">
      <alignment vertical="center" wrapText="1"/>
    </xf>
    <xf numFmtId="0" fontId="20" fillId="0" borderId="9" xfId="0" applyFont="1" applyBorder="1" applyAlignment="1">
      <alignment vertical="center" wrapText="1"/>
    </xf>
    <xf numFmtId="0" fontId="12" fillId="0" borderId="28" xfId="0" applyFont="1" applyBorder="1" applyAlignment="1">
      <alignment vertical="center" wrapText="1"/>
    </xf>
    <xf numFmtId="0" fontId="0" fillId="5" borderId="0" xfId="0" applyFill="1"/>
    <xf numFmtId="0" fontId="13" fillId="5" borderId="0" xfId="0" applyFont="1" applyFill="1" applyAlignment="1">
      <alignment vertical="center"/>
    </xf>
    <xf numFmtId="0" fontId="9" fillId="17" borderId="8" xfId="0" applyFont="1" applyFill="1" applyBorder="1" applyAlignment="1">
      <alignment horizontal="center" vertical="center" wrapText="1"/>
    </xf>
    <xf numFmtId="0" fontId="0" fillId="17" borderId="8" xfId="0" applyFill="1" applyBorder="1" applyAlignment="1">
      <alignment horizontal="center" vertical="center"/>
    </xf>
    <xf numFmtId="0" fontId="15" fillId="17" borderId="8" xfId="0" applyFont="1" applyFill="1" applyBorder="1" applyAlignment="1">
      <alignment horizontal="center" vertical="center" wrapText="1"/>
    </xf>
    <xf numFmtId="0" fontId="0" fillId="17" borderId="27" xfId="0" applyFill="1" applyBorder="1" applyAlignment="1">
      <alignment horizontal="center" vertical="center"/>
    </xf>
    <xf numFmtId="0" fontId="25" fillId="17" borderId="27" xfId="0" applyFont="1" applyFill="1" applyBorder="1" applyAlignment="1">
      <alignment horizontal="center" vertical="center" wrapText="1"/>
    </xf>
    <xf numFmtId="0" fontId="25" fillId="17" borderId="8" xfId="0" applyFont="1" applyFill="1" applyBorder="1" applyAlignment="1">
      <alignment horizontal="center" vertical="center" wrapText="1"/>
    </xf>
    <xf numFmtId="0" fontId="23" fillId="17" borderId="8" xfId="0" applyFont="1" applyFill="1" applyBorder="1" applyAlignment="1">
      <alignment horizontal="center" vertical="center" wrapText="1"/>
    </xf>
    <xf numFmtId="0" fontId="23" fillId="21" borderId="8" xfId="0" applyFont="1" applyFill="1" applyBorder="1" applyAlignment="1">
      <alignment horizontal="center" vertical="center"/>
    </xf>
    <xf numFmtId="0" fontId="25" fillId="21" borderId="8" xfId="0" applyFont="1" applyFill="1" applyBorder="1" applyAlignment="1">
      <alignment horizontal="center" vertical="center"/>
    </xf>
    <xf numFmtId="0" fontId="9" fillId="21" borderId="8" xfId="0" applyFont="1" applyFill="1" applyBorder="1" applyAlignment="1">
      <alignment horizontal="center" vertical="center"/>
    </xf>
    <xf numFmtId="0" fontId="49" fillId="2" borderId="55" xfId="0" applyFont="1" applyFill="1" applyBorder="1" applyAlignment="1">
      <alignment horizontal="center" vertical="center" wrapText="1"/>
    </xf>
    <xf numFmtId="0" fontId="49" fillId="2" borderId="56" xfId="0" applyFont="1" applyFill="1" applyBorder="1" applyAlignment="1">
      <alignment horizontal="center" vertical="center" wrapText="1"/>
    </xf>
    <xf numFmtId="0" fontId="7" fillId="5" borderId="57" xfId="0" applyFont="1" applyFill="1" applyBorder="1" applyAlignment="1">
      <alignment vertical="center" wrapText="1"/>
    </xf>
    <xf numFmtId="0" fontId="0" fillId="0" borderId="58" xfId="0" applyBorder="1"/>
    <xf numFmtId="0" fontId="0" fillId="0" borderId="59" xfId="0" applyBorder="1"/>
    <xf numFmtId="0" fontId="49" fillId="2" borderId="0" xfId="0" applyFont="1" applyFill="1" applyAlignment="1">
      <alignment horizontal="center" vertical="center" wrapText="1"/>
    </xf>
    <xf numFmtId="0" fontId="12" fillId="0" borderId="60" xfId="0" applyFont="1" applyBorder="1" applyAlignment="1">
      <alignment vertical="center" wrapText="1"/>
    </xf>
    <xf numFmtId="0" fontId="12" fillId="0" borderId="61" xfId="0" applyFont="1" applyBorder="1" applyAlignment="1">
      <alignment vertical="center" wrapText="1"/>
    </xf>
    <xf numFmtId="0" fontId="17" fillId="0" borderId="28" xfId="0" applyFont="1" applyBorder="1" applyAlignment="1">
      <alignment vertical="center" wrapText="1"/>
    </xf>
    <xf numFmtId="0" fontId="12" fillId="0" borderId="49" xfId="0" applyFont="1" applyBorder="1" applyAlignment="1">
      <alignment vertical="center" wrapText="1"/>
    </xf>
    <xf numFmtId="0" fontId="12" fillId="0" borderId="62" xfId="0" applyFont="1" applyBorder="1" applyAlignment="1">
      <alignment vertical="center" wrapText="1"/>
    </xf>
    <xf numFmtId="0" fontId="14" fillId="5" borderId="62" xfId="0" applyFont="1" applyFill="1" applyBorder="1" applyAlignment="1">
      <alignment vertical="center" wrapText="1"/>
    </xf>
    <xf numFmtId="0" fontId="21" fillId="0" borderId="62" xfId="0" applyFont="1" applyBorder="1" applyAlignment="1">
      <alignment vertical="center" wrapText="1"/>
    </xf>
    <xf numFmtId="0" fontId="20" fillId="0" borderId="60" xfId="0" applyFont="1" applyBorder="1" applyAlignment="1">
      <alignment vertical="center" wrapText="1"/>
    </xf>
    <xf numFmtId="0" fontId="21" fillId="0" borderId="61" xfId="0" applyFont="1" applyBorder="1" applyAlignment="1">
      <alignment vertical="center" wrapText="1"/>
    </xf>
    <xf numFmtId="0" fontId="21" fillId="0" borderId="5" xfId="0" applyFont="1" applyBorder="1" applyAlignment="1">
      <alignment vertical="center" wrapText="1"/>
    </xf>
    <xf numFmtId="0" fontId="20" fillId="0" borderId="28" xfId="0" applyFont="1" applyBorder="1" applyAlignment="1">
      <alignment vertical="center" wrapText="1"/>
    </xf>
    <xf numFmtId="0" fontId="20" fillId="0" borderId="61" xfId="0" applyFont="1" applyBorder="1" applyAlignment="1">
      <alignment vertical="center" wrapText="1"/>
    </xf>
    <xf numFmtId="0" fontId="20" fillId="0" borderId="62" xfId="0" applyFont="1" applyBorder="1" applyAlignment="1">
      <alignment vertical="center" wrapText="1"/>
    </xf>
    <xf numFmtId="0" fontId="27" fillId="0" borderId="49" xfId="0" applyFont="1" applyBorder="1" applyAlignment="1">
      <alignment horizontal="left" vertical="center" wrapText="1" indent="1"/>
    </xf>
    <xf numFmtId="0" fontId="27" fillId="0" borderId="62" xfId="0" applyFont="1" applyBorder="1" applyAlignment="1">
      <alignment horizontal="left" vertical="center" wrapText="1" indent="1"/>
    </xf>
    <xf numFmtId="0" fontId="27" fillId="0" borderId="61" xfId="0" applyFont="1" applyBorder="1" applyAlignment="1">
      <alignment horizontal="left" vertical="center" wrapText="1" indent="1"/>
    </xf>
    <xf numFmtId="0" fontId="28" fillId="0" borderId="62" xfId="0" applyFont="1" applyBorder="1" applyAlignment="1">
      <alignment vertical="center" wrapText="1"/>
    </xf>
    <xf numFmtId="0" fontId="21" fillId="0" borderId="60" xfId="0" applyFont="1" applyBorder="1" applyAlignment="1">
      <alignment vertical="center" wrapText="1"/>
    </xf>
    <xf numFmtId="0" fontId="27" fillId="0" borderId="62" xfId="0" applyFont="1" applyBorder="1" applyAlignment="1">
      <alignment vertical="center" wrapText="1"/>
    </xf>
    <xf numFmtId="0" fontId="28" fillId="0" borderId="61" xfId="0" applyFont="1" applyBorder="1" applyAlignment="1">
      <alignment vertical="center" wrapText="1"/>
    </xf>
    <xf numFmtId="0" fontId="27" fillId="0" borderId="61" xfId="0" applyFont="1" applyBorder="1" applyAlignment="1">
      <alignment vertical="center" wrapText="1"/>
    </xf>
    <xf numFmtId="0" fontId="28" fillId="0" borderId="49" xfId="0" applyFont="1" applyBorder="1" applyAlignment="1">
      <alignment vertical="center" wrapText="1"/>
    </xf>
    <xf numFmtId="0" fontId="22" fillId="0" borderId="62" xfId="0" applyFont="1" applyBorder="1" applyAlignment="1">
      <alignment vertical="center" wrapText="1"/>
    </xf>
    <xf numFmtId="0" fontId="22" fillId="0" borderId="61" xfId="0" applyFont="1" applyBorder="1" applyAlignment="1">
      <alignment vertical="center" wrapText="1"/>
    </xf>
    <xf numFmtId="0" fontId="29" fillId="0" borderId="28" xfId="0" applyFont="1" applyBorder="1" applyAlignment="1">
      <alignment vertical="center" wrapText="1"/>
    </xf>
    <xf numFmtId="0" fontId="21" fillId="0" borderId="49" xfId="0" applyFont="1" applyBorder="1" applyAlignment="1">
      <alignment vertical="center" wrapText="1"/>
    </xf>
    <xf numFmtId="0" fontId="28" fillId="0" borderId="28" xfId="0" applyFont="1" applyBorder="1" applyAlignment="1">
      <alignment vertical="center" wrapText="1"/>
    </xf>
    <xf numFmtId="0" fontId="22" fillId="0" borderId="60" xfId="0" applyFont="1" applyBorder="1" applyAlignment="1">
      <alignment vertical="center" wrapText="1"/>
    </xf>
    <xf numFmtId="0" fontId="27" fillId="0" borderId="49" xfId="0" applyFont="1" applyBorder="1" applyAlignment="1">
      <alignment vertical="center" wrapText="1"/>
    </xf>
    <xf numFmtId="0" fontId="29" fillId="0" borderId="49" xfId="0" applyFont="1" applyBorder="1" applyAlignment="1">
      <alignment vertical="center" wrapText="1"/>
    </xf>
    <xf numFmtId="0" fontId="22" fillId="0" borderId="49" xfId="0" applyFont="1" applyBorder="1" applyAlignment="1">
      <alignment vertical="center" wrapText="1"/>
    </xf>
    <xf numFmtId="0" fontId="49" fillId="2" borderId="63" xfId="0" applyFont="1" applyFill="1" applyBorder="1" applyAlignment="1">
      <alignment horizontal="center" vertical="center" wrapText="1"/>
    </xf>
    <xf numFmtId="0" fontId="50" fillId="10" borderId="46" xfId="0" applyFont="1" applyFill="1" applyBorder="1" applyAlignment="1" applyProtection="1">
      <alignment horizontal="center" vertical="center" wrapText="1"/>
      <protection hidden="1"/>
    </xf>
    <xf numFmtId="14" fontId="0" fillId="0" borderId="0" xfId="0" applyNumberFormat="1"/>
    <xf numFmtId="14" fontId="49" fillId="2" borderId="56" xfId="0" applyNumberFormat="1" applyFont="1" applyFill="1" applyBorder="1" applyAlignment="1">
      <alignment horizontal="center" vertical="center" wrapText="1"/>
    </xf>
    <xf numFmtId="0" fontId="52" fillId="0" borderId="0" xfId="0" applyFont="1"/>
    <xf numFmtId="0" fontId="52" fillId="5" borderId="0" xfId="0" applyFont="1" applyFill="1"/>
    <xf numFmtId="14" fontId="13" fillId="5" borderId="0" xfId="0" applyNumberFormat="1" applyFont="1" applyFill="1" applyAlignment="1">
      <alignment vertical="center"/>
    </xf>
    <xf numFmtId="14" fontId="49" fillId="2" borderId="63" xfId="0" applyNumberFormat="1" applyFont="1" applyFill="1" applyBorder="1" applyAlignment="1">
      <alignment horizontal="center" vertical="center" wrapText="1"/>
    </xf>
    <xf numFmtId="0" fontId="19" fillId="11" borderId="35" xfId="0" applyFont="1" applyFill="1" applyBorder="1" applyAlignment="1">
      <alignment horizontal="center" vertical="center" wrapText="1"/>
    </xf>
    <xf numFmtId="14" fontId="19" fillId="11" borderId="1" xfId="0" applyNumberFormat="1" applyFont="1" applyFill="1" applyBorder="1" applyAlignment="1" applyProtection="1">
      <alignment horizontal="center" vertical="center" wrapText="1"/>
      <protection locked="0"/>
    </xf>
    <xf numFmtId="14" fontId="19" fillId="11" borderId="11" xfId="0" applyNumberFormat="1" applyFont="1" applyFill="1" applyBorder="1" applyAlignment="1" applyProtection="1">
      <alignment horizontal="center" vertical="center" wrapText="1"/>
      <protection locked="0"/>
    </xf>
    <xf numFmtId="0" fontId="33" fillId="16" borderId="43" xfId="0" applyFont="1" applyFill="1" applyBorder="1" applyAlignment="1">
      <alignment horizontal="center" vertical="center" wrapText="1"/>
    </xf>
    <xf numFmtId="0" fontId="33" fillId="16" borderId="36" xfId="0" applyFont="1" applyFill="1" applyBorder="1" applyAlignment="1">
      <alignment horizontal="center" vertical="center" wrapText="1"/>
    </xf>
    <xf numFmtId="0" fontId="26" fillId="16" borderId="43" xfId="0" applyFont="1" applyFill="1" applyBorder="1" applyAlignment="1">
      <alignment horizontal="center" vertical="center" wrapText="1"/>
    </xf>
    <xf numFmtId="0" fontId="26" fillId="16" borderId="36" xfId="0" applyFont="1" applyFill="1" applyBorder="1" applyAlignment="1">
      <alignment horizontal="center" vertical="center" wrapText="1"/>
    </xf>
    <xf numFmtId="0" fontId="19" fillId="12" borderId="52" xfId="0" applyFont="1" applyFill="1" applyBorder="1" applyAlignment="1">
      <alignment horizontal="center" vertical="center" wrapText="1"/>
    </xf>
    <xf numFmtId="0" fontId="19" fillId="12" borderId="41" xfId="0" applyFont="1" applyFill="1" applyBorder="1" applyAlignment="1">
      <alignment horizontal="center" vertical="center" wrapText="1"/>
    </xf>
    <xf numFmtId="0" fontId="19" fillId="12" borderId="53" xfId="0" applyFont="1" applyFill="1" applyBorder="1" applyAlignment="1">
      <alignment horizontal="center" vertical="center" wrapText="1"/>
    </xf>
    <xf numFmtId="0" fontId="9" fillId="5" borderId="8" xfId="0" applyFont="1" applyFill="1" applyBorder="1" applyAlignment="1">
      <alignment horizontal="left" vertical="center" wrapText="1" indent="9"/>
    </xf>
    <xf numFmtId="0" fontId="9" fillId="5" borderId="1" xfId="0" applyFont="1" applyFill="1" applyBorder="1" applyAlignment="1">
      <alignment horizontal="left" vertical="center" wrapText="1" indent="9"/>
    </xf>
    <xf numFmtId="0" fontId="36" fillId="18" borderId="43" xfId="0" applyFont="1" applyFill="1" applyBorder="1" applyAlignment="1">
      <alignment horizontal="center" vertical="center" wrapText="1"/>
    </xf>
    <xf numFmtId="0" fontId="36" fillId="18" borderId="36" xfId="0" applyFont="1" applyFill="1" applyBorder="1" applyAlignment="1">
      <alignment horizontal="center" vertical="center" wrapText="1"/>
    </xf>
    <xf numFmtId="0" fontId="10" fillId="18" borderId="36" xfId="0" applyFont="1" applyFill="1" applyBorder="1" applyAlignment="1">
      <alignment horizontal="center" vertical="center" wrapText="1"/>
    </xf>
    <xf numFmtId="0" fontId="36" fillId="19" borderId="43" xfId="0" applyFont="1" applyFill="1" applyBorder="1" applyAlignment="1">
      <alignment horizontal="center" vertical="center" wrapText="1"/>
    </xf>
    <xf numFmtId="0" fontId="36" fillId="19" borderId="36" xfId="0" applyFont="1" applyFill="1" applyBorder="1" applyAlignment="1">
      <alignment horizontal="center" vertical="center" wrapText="1"/>
    </xf>
    <xf numFmtId="0" fontId="10" fillId="19" borderId="36" xfId="0" applyFont="1" applyFill="1" applyBorder="1" applyAlignment="1">
      <alignment horizontal="center" vertical="center" wrapText="1"/>
    </xf>
    <xf numFmtId="0" fontId="36" fillId="16" borderId="43" xfId="0" applyFont="1" applyFill="1" applyBorder="1" applyAlignment="1">
      <alignment horizontal="center" vertical="center"/>
    </xf>
    <xf numFmtId="0" fontId="36" fillId="16" borderId="36" xfId="0" applyFont="1" applyFill="1" applyBorder="1" applyAlignment="1">
      <alignment horizontal="center" vertical="center"/>
    </xf>
    <xf numFmtId="0" fontId="10" fillId="16" borderId="36" xfId="0" applyFont="1" applyFill="1" applyBorder="1" applyAlignment="1">
      <alignment horizontal="center" vertical="center"/>
    </xf>
    <xf numFmtId="0" fontId="42" fillId="16" borderId="43" xfId="0" applyFont="1" applyFill="1" applyBorder="1" applyAlignment="1">
      <alignment horizontal="center" vertical="center" wrapText="1"/>
    </xf>
    <xf numFmtId="0" fontId="42" fillId="16" borderId="36" xfId="0" applyFont="1" applyFill="1" applyBorder="1" applyAlignment="1">
      <alignment horizontal="center" vertical="center" wrapText="1"/>
    </xf>
    <xf numFmtId="0" fontId="36" fillId="16" borderId="43" xfId="0" applyFont="1" applyFill="1" applyBorder="1" applyAlignment="1">
      <alignment horizontal="center" vertical="center" wrapText="1"/>
    </xf>
    <xf numFmtId="0" fontId="36" fillId="16" borderId="36" xfId="0" applyFont="1" applyFill="1" applyBorder="1" applyAlignment="1">
      <alignment horizontal="center" vertical="center" wrapText="1"/>
    </xf>
    <xf numFmtId="0" fontId="10" fillId="16" borderId="25" xfId="0" applyFont="1" applyFill="1" applyBorder="1" applyAlignment="1">
      <alignment horizontal="center" vertical="center"/>
    </xf>
    <xf numFmtId="0" fontId="10" fillId="16" borderId="36" xfId="0" applyFont="1" applyFill="1" applyBorder="1" applyAlignment="1">
      <alignment horizontal="center" vertical="center" wrapText="1"/>
    </xf>
    <xf numFmtId="0" fontId="28" fillId="0" borderId="36" xfId="0" applyFont="1" applyBorder="1" applyAlignment="1">
      <alignment horizontal="left" vertical="center" wrapText="1" indent="1"/>
    </xf>
    <xf numFmtId="0" fontId="21" fillId="0" borderId="36" xfId="0" applyFont="1" applyBorder="1" applyAlignment="1">
      <alignment horizontal="left" vertical="center" wrapText="1" indent="1"/>
    </xf>
    <xf numFmtId="0" fontId="4" fillId="0" borderId="43"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20" fillId="0" borderId="36" xfId="0" applyFont="1" applyBorder="1" applyAlignment="1">
      <alignment horizontal="left" vertical="center" wrapText="1" indent="1"/>
    </xf>
    <xf numFmtId="0" fontId="12" fillId="0" borderId="43" xfId="0" applyFont="1" applyBorder="1" applyAlignment="1" applyProtection="1">
      <alignment horizontal="left" vertical="top" wrapText="1"/>
      <protection locked="0"/>
    </xf>
    <xf numFmtId="0" fontId="12" fillId="0" borderId="36" xfId="0" applyFont="1" applyBorder="1" applyAlignment="1" applyProtection="1">
      <alignment horizontal="left" vertical="top" wrapText="1"/>
      <protection locked="0"/>
    </xf>
    <xf numFmtId="0" fontId="12" fillId="0" borderId="25" xfId="0" applyFont="1" applyBorder="1" applyAlignment="1" applyProtection="1">
      <alignment horizontal="left" vertical="top" wrapText="1"/>
      <protection locked="0"/>
    </xf>
    <xf numFmtId="0" fontId="19" fillId="11" borderId="11" xfId="0" applyFont="1" applyFill="1" applyBorder="1" applyAlignment="1" applyProtection="1">
      <alignment horizontal="center" vertical="center" wrapText="1"/>
      <protection locked="0"/>
    </xf>
    <xf numFmtId="14" fontId="9" fillId="11" borderId="11" xfId="0" applyNumberFormat="1" applyFont="1" applyFill="1" applyBorder="1" applyAlignment="1" applyProtection="1">
      <alignment horizontal="center" vertical="center" wrapText="1"/>
      <protection locked="0"/>
    </xf>
    <xf numFmtId="0" fontId="9" fillId="11" borderId="11" xfId="0" applyFont="1" applyFill="1" applyBorder="1" applyAlignment="1" applyProtection="1">
      <alignment horizontal="center" vertical="center" wrapText="1"/>
      <protection locked="0"/>
    </xf>
    <xf numFmtId="0" fontId="9" fillId="11" borderId="11" xfId="0" applyFont="1" applyFill="1" applyBorder="1" applyAlignment="1" applyProtection="1">
      <alignment horizontal="center" vertical="center" wrapText="1"/>
      <protection hidden="1"/>
    </xf>
    <xf numFmtId="0" fontId="9" fillId="11" borderId="11" xfId="0" applyFont="1" applyFill="1" applyBorder="1" applyAlignment="1" applyProtection="1">
      <alignment horizontal="left" vertical="top" wrapText="1"/>
      <protection locked="0"/>
    </xf>
    <xf numFmtId="0" fontId="53" fillId="0" borderId="1" xfId="0" applyFont="1" applyBorder="1" applyAlignment="1">
      <alignment horizontal="center" vertical="center" wrapText="1"/>
    </xf>
    <xf numFmtId="0" fontId="33" fillId="16" borderId="35" xfId="0" applyFont="1" applyFill="1" applyBorder="1" applyAlignment="1">
      <alignment horizontal="left" vertical="center" wrapText="1" indent="1"/>
    </xf>
    <xf numFmtId="0" fontId="33" fillId="16" borderId="36" xfId="0" applyFont="1" applyFill="1" applyBorder="1" applyAlignment="1">
      <alignment horizontal="left" vertical="center" wrapText="1" indent="1"/>
    </xf>
    <xf numFmtId="0" fontId="33" fillId="16" borderId="25" xfId="0" applyFont="1" applyFill="1" applyBorder="1" applyAlignment="1">
      <alignment horizontal="left" vertical="center" wrapText="1" indent="1"/>
    </xf>
    <xf numFmtId="0" fontId="22" fillId="0" borderId="36" xfId="0" applyFont="1" applyBorder="1" applyAlignment="1">
      <alignment horizontal="center" vertical="center" wrapText="1"/>
    </xf>
    <xf numFmtId="0" fontId="35" fillId="23" borderId="35" xfId="0" applyFont="1" applyFill="1" applyBorder="1" applyAlignment="1">
      <alignment horizontal="center" vertical="center" wrapText="1"/>
    </xf>
    <xf numFmtId="0" fontId="35" fillId="23" borderId="36" xfId="0" applyFont="1" applyFill="1" applyBorder="1" applyAlignment="1">
      <alignment horizontal="center" vertical="center" wrapText="1"/>
    </xf>
    <xf numFmtId="0" fontId="19" fillId="11" borderId="1" xfId="0" applyFont="1" applyFill="1" applyBorder="1" applyAlignment="1">
      <alignment horizontal="center" vertical="center" wrapText="1"/>
    </xf>
    <xf numFmtId="0" fontId="20" fillId="0" borderId="43" xfId="0" applyFont="1" applyBorder="1" applyAlignment="1">
      <alignment horizontal="left" vertical="center" wrapText="1" indent="1"/>
    </xf>
    <xf numFmtId="0" fontId="20" fillId="0" borderId="25" xfId="0" applyFont="1" applyBorder="1" applyAlignment="1">
      <alignment horizontal="left" vertical="center" wrapText="1" indent="1"/>
    </xf>
    <xf numFmtId="0" fontId="33" fillId="0" borderId="43" xfId="0" applyFont="1" applyBorder="1" applyAlignment="1">
      <alignment horizontal="left" vertical="center" wrapText="1" indent="1"/>
    </xf>
    <xf numFmtId="0" fontId="20" fillId="0" borderId="43" xfId="0" applyFont="1" applyBorder="1" applyAlignment="1" applyProtection="1">
      <alignment horizontal="left" vertical="top" wrapText="1"/>
      <protection locked="0"/>
    </xf>
    <xf numFmtId="0" fontId="20" fillId="0" borderId="36" xfId="0" applyFont="1" applyBorder="1" applyAlignment="1" applyProtection="1">
      <alignment horizontal="left" vertical="top" wrapText="1"/>
      <protection locked="0"/>
    </xf>
    <xf numFmtId="0" fontId="20" fillId="0" borderId="25" xfId="0" applyFont="1" applyBorder="1" applyAlignment="1" applyProtection="1">
      <alignment horizontal="left" vertical="top" wrapText="1"/>
      <protection locked="0"/>
    </xf>
    <xf numFmtId="14" fontId="33" fillId="0" borderId="43" xfId="0" applyNumberFormat="1" applyFont="1" applyBorder="1" applyAlignment="1" applyProtection="1">
      <alignment horizontal="center" vertical="center" wrapText="1"/>
      <protection locked="0"/>
    </xf>
    <xf numFmtId="0" fontId="33" fillId="0" borderId="25" xfId="0" applyFont="1" applyBorder="1" applyAlignment="1" applyProtection="1">
      <alignment horizontal="center" vertical="center" wrapText="1"/>
      <protection locked="0"/>
    </xf>
    <xf numFmtId="0" fontId="33" fillId="0" borderId="43" xfId="0" applyFont="1" applyBorder="1" applyAlignment="1" applyProtection="1">
      <alignment horizontal="center" vertical="center" wrapText="1"/>
      <protection locked="0"/>
    </xf>
    <xf numFmtId="0" fontId="20" fillId="0" borderId="42" xfId="0" applyFont="1" applyBorder="1" applyAlignment="1">
      <alignment horizontal="left" vertical="center" wrapText="1" indent="1"/>
    </xf>
    <xf numFmtId="0" fontId="20" fillId="0" borderId="40" xfId="0" applyFont="1" applyBorder="1" applyAlignment="1">
      <alignment horizontal="left" vertical="center" wrapText="1" indent="1"/>
    </xf>
    <xf numFmtId="0" fontId="20" fillId="0" borderId="44" xfId="0" applyFont="1" applyBorder="1" applyAlignment="1">
      <alignment horizontal="left" vertical="center" wrapText="1" indent="1"/>
    </xf>
    <xf numFmtId="0" fontId="35" fillId="22" borderId="35" xfId="0" applyFont="1" applyFill="1" applyBorder="1" applyAlignment="1">
      <alignment horizontal="center" vertical="center" wrapText="1"/>
    </xf>
    <xf numFmtId="0" fontId="35" fillId="22" borderId="36" xfId="0" applyFont="1" applyFill="1" applyBorder="1" applyAlignment="1">
      <alignment horizontal="center" vertical="center" wrapText="1"/>
    </xf>
    <xf numFmtId="0" fontId="19" fillId="11" borderId="1" xfId="0" applyFont="1" applyFill="1" applyBorder="1" applyAlignment="1" applyProtection="1">
      <alignment horizontal="center" vertical="center" wrapText="1"/>
      <protection locked="0"/>
    </xf>
    <xf numFmtId="14" fontId="9" fillId="11" borderId="1" xfId="0" applyNumberFormat="1" applyFont="1" applyFill="1" applyBorder="1" applyAlignment="1" applyProtection="1">
      <alignment horizontal="center" vertical="center" wrapText="1"/>
      <protection locked="0"/>
    </xf>
    <xf numFmtId="0" fontId="9" fillId="11" borderId="1" xfId="0" applyFont="1" applyFill="1" applyBorder="1" applyAlignment="1" applyProtection="1">
      <alignment horizontal="center" vertical="center" wrapText="1"/>
      <protection locked="0"/>
    </xf>
    <xf numFmtId="0" fontId="9" fillId="11" borderId="1" xfId="0" applyFont="1" applyFill="1" applyBorder="1" applyAlignment="1" applyProtection="1">
      <alignment horizontal="center" vertical="center" wrapText="1"/>
      <protection hidden="1"/>
    </xf>
    <xf numFmtId="0" fontId="9" fillId="11" borderId="1" xfId="0" applyFont="1" applyFill="1" applyBorder="1" applyAlignment="1" applyProtection="1">
      <alignment horizontal="left" vertical="top" wrapText="1"/>
      <protection locked="0"/>
    </xf>
    <xf numFmtId="0" fontId="34" fillId="23" borderId="37" xfId="0" applyFont="1" applyFill="1" applyBorder="1" applyAlignment="1">
      <alignment horizontal="center" vertical="center" wrapText="1"/>
    </xf>
    <xf numFmtId="0" fontId="34" fillId="23" borderId="38" xfId="0" applyFont="1" applyFill="1" applyBorder="1" applyAlignment="1">
      <alignment horizontal="center" vertical="center" wrapText="1"/>
    </xf>
    <xf numFmtId="0" fontId="37" fillId="19" borderId="35" xfId="0" applyFont="1" applyFill="1" applyBorder="1" applyAlignment="1">
      <alignment horizontal="center" vertical="center" wrapText="1"/>
    </xf>
    <xf numFmtId="0" fontId="37" fillId="19" borderId="36" xfId="0" applyFont="1" applyFill="1" applyBorder="1" applyAlignment="1">
      <alignment horizontal="center" vertical="center" wrapText="1"/>
    </xf>
    <xf numFmtId="0" fontId="37" fillId="19" borderId="25" xfId="0" applyFont="1" applyFill="1" applyBorder="1" applyAlignment="1">
      <alignment horizontal="center" vertical="center" wrapText="1"/>
    </xf>
    <xf numFmtId="0" fontId="9" fillId="19" borderId="43" xfId="0" applyFont="1" applyFill="1" applyBorder="1" applyAlignment="1">
      <alignment horizontal="center" vertical="center" wrapText="1"/>
    </xf>
    <xf numFmtId="0" fontId="9" fillId="19" borderId="25" xfId="0" applyFont="1" applyFill="1" applyBorder="1" applyAlignment="1">
      <alignment horizontal="center" vertical="center" wrapText="1"/>
    </xf>
    <xf numFmtId="0" fontId="9" fillId="19" borderId="36" xfId="0" applyFont="1" applyFill="1" applyBorder="1" applyAlignment="1">
      <alignment horizontal="center" vertical="center" wrapText="1"/>
    </xf>
    <xf numFmtId="0" fontId="0" fillId="0" borderId="45" xfId="0" applyBorder="1" applyAlignment="1">
      <alignment horizontal="center"/>
    </xf>
    <xf numFmtId="0" fontId="4" fillId="19" borderId="35" xfId="0" applyFont="1" applyFill="1" applyBorder="1" applyAlignment="1">
      <alignment horizontal="left" vertical="center" wrapText="1" indent="1"/>
    </xf>
    <xf numFmtId="0" fontId="4" fillId="19" borderId="36" xfId="0" applyFont="1" applyFill="1" applyBorder="1" applyAlignment="1">
      <alignment horizontal="left" vertical="center" wrapText="1" indent="1"/>
    </xf>
    <xf numFmtId="0" fontId="4" fillId="19" borderId="25" xfId="0" applyFont="1" applyFill="1" applyBorder="1" applyAlignment="1">
      <alignment horizontal="left" vertical="center" wrapText="1" indent="1"/>
    </xf>
    <xf numFmtId="0" fontId="19" fillId="11" borderId="35" xfId="0" applyFont="1" applyFill="1" applyBorder="1" applyAlignment="1">
      <alignment horizontal="center" vertical="center" wrapText="1"/>
    </xf>
    <xf numFmtId="0" fontId="19" fillId="11" borderId="25" xfId="0" applyFont="1" applyFill="1" applyBorder="1" applyAlignment="1">
      <alignment horizontal="center" vertical="center" wrapText="1"/>
    </xf>
    <xf numFmtId="14" fontId="4" fillId="0" borderId="43" xfId="0" applyNumberFormat="1" applyFont="1" applyBorder="1" applyAlignment="1" applyProtection="1">
      <alignment horizontal="center" vertical="center" wrapText="1"/>
      <protection locked="0"/>
    </xf>
    <xf numFmtId="0" fontId="4" fillId="16" borderId="35" xfId="0" applyFont="1" applyFill="1" applyBorder="1" applyAlignment="1">
      <alignment horizontal="left" vertical="center" wrapText="1" indent="1"/>
    </xf>
    <xf numFmtId="0" fontId="4" fillId="16" borderId="36" xfId="0" applyFont="1" applyFill="1" applyBorder="1" applyAlignment="1">
      <alignment horizontal="left" vertical="center" wrapText="1" indent="1"/>
    </xf>
    <xf numFmtId="0" fontId="4" fillId="16" borderId="25" xfId="0" applyFont="1" applyFill="1" applyBorder="1" applyAlignment="1">
      <alignment horizontal="left" vertical="center" wrapText="1" indent="1"/>
    </xf>
    <xf numFmtId="0" fontId="34" fillId="20" borderId="35" xfId="0" applyFont="1" applyFill="1" applyBorder="1" applyAlignment="1">
      <alignment horizontal="center" vertical="center"/>
    </xf>
    <xf numFmtId="0" fontId="34" fillId="20" borderId="36" xfId="0" applyFont="1" applyFill="1" applyBorder="1" applyAlignment="1">
      <alignment horizontal="center" vertical="center"/>
    </xf>
    <xf numFmtId="0" fontId="20" fillId="0" borderId="45" xfId="0" applyFont="1" applyBorder="1" applyAlignment="1">
      <alignment horizontal="left" vertical="center" wrapText="1" indent="1"/>
    </xf>
    <xf numFmtId="0" fontId="38" fillId="16" borderId="43" xfId="0" applyFont="1" applyFill="1" applyBorder="1" applyAlignment="1">
      <alignment horizontal="center" vertical="center" wrapText="1"/>
    </xf>
    <xf numFmtId="0" fontId="38" fillId="16" borderId="36" xfId="0" applyFont="1" applyFill="1" applyBorder="1" applyAlignment="1">
      <alignment horizontal="center" vertical="center" wrapText="1"/>
    </xf>
    <xf numFmtId="0" fontId="32" fillId="16" borderId="36" xfId="0" applyFont="1" applyFill="1" applyBorder="1" applyAlignment="1">
      <alignment horizontal="center" vertical="center" wrapText="1"/>
    </xf>
    <xf numFmtId="0" fontId="32" fillId="16" borderId="43" xfId="0" applyFont="1" applyFill="1" applyBorder="1" applyAlignment="1">
      <alignment horizontal="center" vertical="center" wrapText="1"/>
    </xf>
    <xf numFmtId="0" fontId="22" fillId="0" borderId="36" xfId="0" applyFont="1" applyBorder="1" applyAlignment="1">
      <alignment horizontal="left" vertical="center" wrapText="1" indent="1"/>
    </xf>
    <xf numFmtId="0" fontId="29" fillId="0" borderId="36" xfId="0" applyFont="1" applyBorder="1" applyAlignment="1">
      <alignment horizontal="left" vertical="center" wrapText="1" indent="1"/>
    </xf>
    <xf numFmtId="0" fontId="27" fillId="0" borderId="36" xfId="0" applyFont="1" applyBorder="1" applyAlignment="1">
      <alignment horizontal="left" vertical="center" wrapText="1" indent="1"/>
    </xf>
    <xf numFmtId="0" fontId="24" fillId="16" borderId="36" xfId="0" applyFont="1" applyFill="1" applyBorder="1" applyAlignment="1">
      <alignment horizontal="center" vertical="center" wrapText="1"/>
    </xf>
    <xf numFmtId="0" fontId="21" fillId="0" borderId="43" xfId="0" applyFont="1" applyBorder="1" applyAlignment="1">
      <alignment horizontal="left" vertical="center" wrapText="1" indent="1"/>
    </xf>
    <xf numFmtId="0" fontId="21" fillId="0" borderId="25" xfId="0" applyFont="1" applyBorder="1" applyAlignment="1">
      <alignment horizontal="left" vertical="center" wrapText="1" indent="1"/>
    </xf>
    <xf numFmtId="0" fontId="40" fillId="16" borderId="43" xfId="0" applyFont="1" applyFill="1" applyBorder="1" applyAlignment="1">
      <alignment horizontal="center" vertical="center" wrapText="1"/>
    </xf>
    <xf numFmtId="0" fontId="40" fillId="16" borderId="36" xfId="0" applyFont="1" applyFill="1" applyBorder="1" applyAlignment="1">
      <alignment horizontal="center" vertical="center" wrapText="1"/>
    </xf>
    <xf numFmtId="0" fontId="31" fillId="16" borderId="36" xfId="0" applyFont="1" applyFill="1" applyBorder="1" applyAlignment="1">
      <alignment horizontal="center" vertical="center" wrapText="1"/>
    </xf>
    <xf numFmtId="0" fontId="19" fillId="11" borderId="46" xfId="0" applyFont="1" applyFill="1" applyBorder="1" applyAlignment="1">
      <alignment horizontal="center" vertical="center" wrapText="1"/>
    </xf>
    <xf numFmtId="0" fontId="18" fillId="0" borderId="36" xfId="0" applyFont="1" applyBorder="1" applyAlignment="1">
      <alignment horizontal="left" vertical="center" wrapText="1" indent="1"/>
    </xf>
    <xf numFmtId="0" fontId="18" fillId="0" borderId="36" xfId="0" applyFont="1" applyBorder="1" applyAlignment="1" applyProtection="1">
      <alignment horizontal="left" vertical="top" wrapText="1"/>
      <protection locked="0"/>
    </xf>
    <xf numFmtId="0" fontId="18" fillId="0" borderId="25" xfId="0" applyFont="1" applyBorder="1" applyAlignment="1" applyProtection="1">
      <alignment horizontal="left" vertical="top" wrapText="1"/>
      <protection locked="0"/>
    </xf>
    <xf numFmtId="0" fontId="34" fillId="23" borderId="35" xfId="0" applyFont="1" applyFill="1" applyBorder="1" applyAlignment="1">
      <alignment horizontal="center" vertical="center"/>
    </xf>
    <xf numFmtId="0" fontId="34" fillId="23" borderId="36" xfId="0" applyFont="1" applyFill="1" applyBorder="1" applyAlignment="1">
      <alignment horizontal="center" vertical="center"/>
    </xf>
    <xf numFmtId="0" fontId="34" fillId="23" borderId="25" xfId="0" applyFont="1" applyFill="1" applyBorder="1" applyAlignment="1">
      <alignment horizontal="center" vertical="center"/>
    </xf>
    <xf numFmtId="0" fontId="18" fillId="0" borderId="36" xfId="0" applyFont="1" applyBorder="1" applyAlignment="1">
      <alignment horizontal="left" wrapText="1" indent="1"/>
    </xf>
    <xf numFmtId="0" fontId="11" fillId="0" borderId="36" xfId="0" applyFont="1" applyBorder="1" applyAlignment="1" applyProtection="1">
      <alignment horizontal="left" vertical="top" wrapText="1"/>
      <protection locked="0"/>
    </xf>
    <xf numFmtId="0" fontId="11" fillId="0" borderId="25" xfId="0" applyFont="1" applyBorder="1" applyAlignment="1" applyProtection="1">
      <alignment horizontal="left" vertical="top" wrapText="1"/>
      <protection locked="0"/>
    </xf>
    <xf numFmtId="0" fontId="11" fillId="0" borderId="36" xfId="0" applyFont="1" applyBorder="1" applyAlignment="1">
      <alignment horizontal="left" vertical="center" wrapText="1" indent="1"/>
    </xf>
    <xf numFmtId="0" fontId="3" fillId="0" borderId="1" xfId="0" applyFont="1" applyBorder="1" applyAlignment="1" applyProtection="1">
      <alignment horizontal="left" vertical="top" wrapText="1"/>
      <protection locked="0"/>
    </xf>
    <xf numFmtId="0" fontId="0" fillId="0" borderId="45" xfId="0" applyBorder="1" applyAlignment="1">
      <alignment horizontal="center" vertical="center" wrapText="1"/>
    </xf>
    <xf numFmtId="0" fontId="21" fillId="0" borderId="43" xfId="0" applyFont="1" applyBorder="1" applyAlignment="1">
      <alignment horizontal="left" vertical="top" wrapText="1" indent="1"/>
    </xf>
    <xf numFmtId="0" fontId="21" fillId="0" borderId="36" xfId="0" applyFont="1" applyBorder="1" applyAlignment="1">
      <alignment horizontal="left" vertical="top" wrapText="1" indent="1"/>
    </xf>
    <xf numFmtId="0" fontId="5" fillId="24" borderId="20" xfId="0" applyFont="1" applyFill="1" applyBorder="1" applyAlignment="1">
      <alignment horizontal="left" indent="1"/>
    </xf>
    <xf numFmtId="0" fontId="5" fillId="24" borderId="17" xfId="0" applyFont="1" applyFill="1" applyBorder="1" applyAlignment="1">
      <alignment horizontal="left" indent="1"/>
    </xf>
    <xf numFmtId="0" fontId="5" fillId="24" borderId="32" xfId="0" applyFont="1" applyFill="1" applyBorder="1" applyAlignment="1">
      <alignment horizontal="left" indent="1"/>
    </xf>
    <xf numFmtId="0" fontId="5" fillId="24" borderId="21" xfId="0" applyFont="1" applyFill="1" applyBorder="1" applyAlignment="1">
      <alignment horizontal="left" indent="1"/>
    </xf>
    <xf numFmtId="164" fontId="5" fillId="24" borderId="17" xfId="0" applyNumberFormat="1" applyFont="1" applyFill="1" applyBorder="1" applyAlignment="1">
      <alignment horizontal="left" indent="1"/>
    </xf>
    <xf numFmtId="164" fontId="5" fillId="24" borderId="22" xfId="0" applyNumberFormat="1" applyFont="1" applyFill="1" applyBorder="1" applyAlignment="1">
      <alignment horizontal="left" indent="1"/>
    </xf>
    <xf numFmtId="17" fontId="5" fillId="24" borderId="32" xfId="0" applyNumberFormat="1" applyFont="1" applyFill="1" applyBorder="1" applyAlignment="1">
      <alignment horizontal="left" indent="1"/>
    </xf>
    <xf numFmtId="17" fontId="5" fillId="24" borderId="33" xfId="0" applyNumberFormat="1" applyFont="1" applyFill="1" applyBorder="1" applyAlignment="1">
      <alignment horizontal="left" indent="1"/>
    </xf>
    <xf numFmtId="0" fontId="30" fillId="15" borderId="23" xfId="0" applyFont="1" applyFill="1" applyBorder="1" applyAlignment="1">
      <alignment horizontal="left" vertical="center" indent="1"/>
    </xf>
    <xf numFmtId="0" fontId="30" fillId="3" borderId="23" xfId="0" applyFont="1" applyFill="1" applyBorder="1" applyAlignment="1" applyProtection="1">
      <alignment horizontal="left" vertical="center" indent="1"/>
      <protection locked="0"/>
    </xf>
    <xf numFmtId="0" fontId="30" fillId="3" borderId="28" xfId="0" applyFont="1" applyFill="1" applyBorder="1" applyAlignment="1" applyProtection="1">
      <alignment horizontal="left" vertical="center" indent="1"/>
      <protection locked="0"/>
    </xf>
    <xf numFmtId="0" fontId="30" fillId="13" borderId="10" xfId="0" applyFont="1" applyFill="1" applyBorder="1" applyAlignment="1">
      <alignment horizontal="left" vertical="center" indent="1"/>
    </xf>
    <xf numFmtId="0" fontId="30" fillId="13" borderId="11" xfId="0" applyFont="1" applyFill="1" applyBorder="1" applyAlignment="1">
      <alignment horizontal="left" vertical="center" indent="1"/>
    </xf>
    <xf numFmtId="0" fontId="30" fillId="3" borderId="11" xfId="0" applyFont="1" applyFill="1" applyBorder="1" applyAlignment="1" applyProtection="1">
      <alignment horizontal="left" vertical="center" indent="1"/>
      <protection locked="0"/>
    </xf>
    <xf numFmtId="0" fontId="30" fillId="14" borderId="25" xfId="0" applyFont="1" applyFill="1" applyBorder="1" applyAlignment="1">
      <alignment horizontal="left" vertical="center" indent="1"/>
    </xf>
    <xf numFmtId="0" fontId="30" fillId="14" borderId="1" xfId="0" applyFont="1" applyFill="1" applyBorder="1" applyAlignment="1">
      <alignment horizontal="left" vertical="center" indent="1"/>
    </xf>
    <xf numFmtId="14" fontId="30" fillId="3" borderId="1" xfId="0" applyNumberFormat="1" applyFont="1" applyFill="1" applyBorder="1" applyAlignment="1" applyProtection="1">
      <alignment horizontal="left" vertical="center" indent="1"/>
      <protection locked="0"/>
    </xf>
    <xf numFmtId="0" fontId="30" fillId="3" borderId="1" xfId="0" applyFont="1" applyFill="1" applyBorder="1" applyAlignment="1" applyProtection="1">
      <alignment horizontal="left" vertical="center" indent="1"/>
      <protection locked="0"/>
    </xf>
    <xf numFmtId="14" fontId="30" fillId="25" borderId="1" xfId="0" applyNumberFormat="1" applyFont="1" applyFill="1" applyBorder="1" applyAlignment="1" applyProtection="1">
      <alignment horizontal="left" vertical="center" indent="1"/>
      <protection locked="0"/>
    </xf>
    <xf numFmtId="0" fontId="30" fillId="25" borderId="1" xfId="0" applyFont="1" applyFill="1" applyBorder="1" applyAlignment="1" applyProtection="1">
      <alignment horizontal="left" vertical="center" indent="1"/>
      <protection locked="0"/>
    </xf>
    <xf numFmtId="0" fontId="30" fillId="3" borderId="43" xfId="0" applyFont="1" applyFill="1" applyBorder="1" applyAlignment="1" applyProtection="1">
      <alignment horizontal="center" vertical="center"/>
      <protection locked="0"/>
    </xf>
    <xf numFmtId="0" fontId="30" fillId="3" borderId="36" xfId="0" applyFont="1" applyFill="1" applyBorder="1" applyAlignment="1" applyProtection="1">
      <alignment horizontal="center" vertical="center"/>
      <protection locked="0"/>
    </xf>
    <xf numFmtId="0" fontId="30" fillId="3" borderId="25" xfId="0" applyFont="1" applyFill="1" applyBorder="1" applyAlignment="1" applyProtection="1">
      <alignment horizontal="center" vertical="center"/>
      <protection locked="0"/>
    </xf>
    <xf numFmtId="0" fontId="30" fillId="13" borderId="8" xfId="0" applyFont="1" applyFill="1" applyBorder="1" applyAlignment="1">
      <alignment horizontal="left" vertical="center" indent="1"/>
    </xf>
    <xf numFmtId="0" fontId="30" fillId="13" borderId="1" xfId="0" applyFont="1" applyFill="1" applyBorder="1" applyAlignment="1">
      <alignment horizontal="left" vertical="center" indent="1"/>
    </xf>
    <xf numFmtId="0" fontId="6" fillId="24" borderId="14" xfId="0" applyFont="1" applyFill="1" applyBorder="1" applyAlignment="1">
      <alignment horizontal="center" vertical="center"/>
    </xf>
    <xf numFmtId="0" fontId="6" fillId="24" borderId="15" xfId="0" applyFont="1" applyFill="1" applyBorder="1" applyAlignment="1">
      <alignment horizontal="center" vertical="center"/>
    </xf>
    <xf numFmtId="0" fontId="6" fillId="24" borderId="18" xfId="0" applyFont="1" applyFill="1" applyBorder="1" applyAlignment="1">
      <alignment horizontal="center" vertical="center"/>
    </xf>
    <xf numFmtId="0" fontId="6" fillId="24" borderId="16" xfId="0" applyFont="1" applyFill="1" applyBorder="1" applyAlignment="1">
      <alignment horizontal="center" vertical="center"/>
    </xf>
    <xf numFmtId="0" fontId="6" fillId="24" borderId="12" xfId="0" applyFont="1" applyFill="1" applyBorder="1" applyAlignment="1">
      <alignment horizontal="center" vertical="center"/>
    </xf>
    <xf numFmtId="0" fontId="6" fillId="24" borderId="19" xfId="0" applyFont="1" applyFill="1" applyBorder="1" applyAlignment="1">
      <alignment horizontal="center" vertical="center"/>
    </xf>
    <xf numFmtId="0" fontId="6" fillId="24" borderId="29" xfId="0" applyFont="1" applyFill="1" applyBorder="1" applyAlignment="1">
      <alignment horizontal="center" vertical="center"/>
    </xf>
    <xf numFmtId="0" fontId="6" fillId="24" borderId="30" xfId="0" applyFont="1" applyFill="1" applyBorder="1" applyAlignment="1">
      <alignment horizontal="center" vertical="center"/>
    </xf>
    <xf numFmtId="0" fontId="6" fillId="24" borderId="31" xfId="0" applyFont="1" applyFill="1" applyBorder="1" applyAlignment="1">
      <alignment horizontal="center" vertical="center"/>
    </xf>
    <xf numFmtId="0" fontId="30" fillId="13" borderId="27" xfId="0" applyFont="1" applyFill="1" applyBorder="1" applyAlignment="1">
      <alignment horizontal="left" vertical="center" indent="1"/>
    </xf>
    <xf numFmtId="0" fontId="30" fillId="13" borderId="23" xfId="0" applyFont="1" applyFill="1" applyBorder="1" applyAlignment="1">
      <alignment horizontal="left" vertical="center" indent="1"/>
    </xf>
    <xf numFmtId="0" fontId="30" fillId="3" borderId="43" xfId="0" applyFont="1" applyFill="1" applyBorder="1" applyAlignment="1" applyProtection="1">
      <alignment horizontal="left" vertical="center" indent="1"/>
      <protection locked="0"/>
    </xf>
    <xf numFmtId="0" fontId="30" fillId="3" borderId="36" xfId="0" applyFont="1" applyFill="1" applyBorder="1" applyAlignment="1" applyProtection="1">
      <alignment horizontal="left" vertical="center" indent="1"/>
      <protection locked="0"/>
    </xf>
    <xf numFmtId="0" fontId="30" fillId="3" borderId="25" xfId="0" applyFont="1" applyFill="1" applyBorder="1" applyAlignment="1" applyProtection="1">
      <alignment horizontal="left" vertical="center" indent="1"/>
      <protection locked="0"/>
    </xf>
    <xf numFmtId="0" fontId="30" fillId="3" borderId="13" xfId="0" applyFont="1" applyFill="1" applyBorder="1" applyAlignment="1" applyProtection="1">
      <alignment horizontal="left" vertical="center" indent="1"/>
      <protection locked="0"/>
    </xf>
    <xf numFmtId="0" fontId="30" fillId="14" borderId="24" xfId="0" applyFont="1" applyFill="1" applyBorder="1" applyAlignment="1">
      <alignment horizontal="left" vertical="center" indent="1"/>
    </xf>
    <xf numFmtId="0" fontId="30" fillId="14" borderId="23" xfId="0" applyFont="1" applyFill="1" applyBorder="1" applyAlignment="1">
      <alignment horizontal="left" vertical="center" indent="1"/>
    </xf>
    <xf numFmtId="0" fontId="30" fillId="3" borderId="9" xfId="0" applyFont="1" applyFill="1" applyBorder="1" applyAlignment="1" applyProtection="1">
      <alignment horizontal="left" vertical="center" indent="1"/>
      <protection locked="0"/>
    </xf>
    <xf numFmtId="0" fontId="30" fillId="15" borderId="25" xfId="0" applyFont="1" applyFill="1" applyBorder="1" applyAlignment="1">
      <alignment horizontal="left" vertical="center" indent="1"/>
    </xf>
    <xf numFmtId="0" fontId="30" fillId="15" borderId="1" xfId="0" applyFont="1" applyFill="1" applyBorder="1" applyAlignment="1">
      <alignment horizontal="left" vertical="center" indent="1"/>
    </xf>
    <xf numFmtId="0" fontId="21" fillId="0" borderId="43" xfId="0" applyFont="1" applyBorder="1" applyAlignment="1">
      <alignment horizontal="left" vertical="center" indent="1"/>
    </xf>
    <xf numFmtId="0" fontId="21" fillId="0" borderId="36" xfId="0" applyFont="1" applyBorder="1" applyAlignment="1">
      <alignment horizontal="left" vertical="center" indent="1"/>
    </xf>
    <xf numFmtId="0" fontId="21" fillId="0" borderId="25" xfId="0" applyFont="1" applyBorder="1" applyAlignment="1">
      <alignment horizontal="left" vertical="center" indent="1"/>
    </xf>
    <xf numFmtId="0" fontId="3" fillId="0" borderId="43" xfId="0" applyFont="1" applyBorder="1" applyAlignment="1" applyProtection="1">
      <alignment horizontal="left" vertical="top" wrapText="1"/>
      <protection locked="0"/>
    </xf>
    <xf numFmtId="0" fontId="3" fillId="0" borderId="36" xfId="0" applyFont="1" applyBorder="1" applyAlignment="1" applyProtection="1">
      <alignment horizontal="left" vertical="top" wrapText="1"/>
      <protection locked="0"/>
    </xf>
    <xf numFmtId="0" fontId="3" fillId="0" borderId="25" xfId="0" applyFont="1" applyBorder="1" applyAlignment="1" applyProtection="1">
      <alignment horizontal="left" vertical="top" wrapText="1"/>
      <protection locked="0"/>
    </xf>
    <xf numFmtId="0" fontId="34" fillId="23" borderId="54" xfId="0" applyFont="1" applyFill="1" applyBorder="1" applyAlignment="1">
      <alignment horizontal="center" vertical="center"/>
    </xf>
    <xf numFmtId="0" fontId="34" fillId="23" borderId="0" xfId="0" applyFont="1" applyFill="1" applyAlignment="1">
      <alignment horizontal="center" vertical="center"/>
    </xf>
    <xf numFmtId="0" fontId="48" fillId="0" borderId="37" xfId="0" applyFont="1" applyBorder="1" applyAlignment="1">
      <alignment horizontal="center"/>
    </xf>
    <xf numFmtId="0" fontId="48" fillId="0" borderId="38" xfId="0" applyFont="1" applyBorder="1" applyAlignment="1">
      <alignment horizontal="center"/>
    </xf>
    <xf numFmtId="0" fontId="48" fillId="0" borderId="39" xfId="0" applyFont="1" applyBorder="1" applyAlignment="1">
      <alignment horizontal="center"/>
    </xf>
    <xf numFmtId="0" fontId="19" fillId="12" borderId="37" xfId="0" applyFont="1" applyFill="1" applyBorder="1" applyAlignment="1">
      <alignment horizontal="center" vertical="center" wrapText="1"/>
    </xf>
    <xf numFmtId="0" fontId="19" fillId="12" borderId="38" xfId="0" applyFont="1" applyFill="1" applyBorder="1" applyAlignment="1">
      <alignment horizontal="center" vertical="center" wrapText="1"/>
    </xf>
    <xf numFmtId="0" fontId="8" fillId="6" borderId="42" xfId="0" applyFont="1" applyFill="1" applyBorder="1" applyAlignment="1">
      <alignment horizontal="center" vertical="center" wrapText="1"/>
    </xf>
    <xf numFmtId="0" fontId="8" fillId="6" borderId="40" xfId="0" applyFont="1" applyFill="1" applyBorder="1" applyAlignment="1">
      <alignment horizontal="center" vertical="center" wrapText="1"/>
    </xf>
    <xf numFmtId="0" fontId="8" fillId="7" borderId="43" xfId="0" applyFont="1" applyFill="1" applyBorder="1" applyAlignment="1">
      <alignment horizontal="center" vertical="center" wrapText="1"/>
    </xf>
    <xf numFmtId="0" fontId="8" fillId="7" borderId="36" xfId="0" applyFont="1" applyFill="1" applyBorder="1" applyAlignment="1">
      <alignment horizontal="center" vertical="center" wrapText="1"/>
    </xf>
    <xf numFmtId="0" fontId="8" fillId="8" borderId="43" xfId="0" applyFont="1" applyFill="1" applyBorder="1" applyAlignment="1">
      <alignment horizontal="center" vertical="center" wrapText="1"/>
    </xf>
    <xf numFmtId="0" fontId="8" fillId="8" borderId="36" xfId="0" applyFont="1" applyFill="1" applyBorder="1" applyAlignment="1">
      <alignment horizontal="center" vertical="center" wrapText="1"/>
    </xf>
    <xf numFmtId="0" fontId="8" fillId="9" borderId="47" xfId="0" applyFont="1" applyFill="1" applyBorder="1" applyAlignment="1">
      <alignment horizontal="center" vertical="center" wrapText="1"/>
    </xf>
    <xf numFmtId="0" fontId="8" fillId="9" borderId="45" xfId="0" applyFont="1" applyFill="1" applyBorder="1" applyAlignment="1">
      <alignment horizontal="center" vertical="center" wrapText="1"/>
    </xf>
    <xf numFmtId="0" fontId="30" fillId="3" borderId="6" xfId="0" applyFont="1" applyFill="1" applyBorder="1" applyAlignment="1" applyProtection="1">
      <alignment horizontal="left" vertical="center" indent="1"/>
      <protection locked="0"/>
    </xf>
    <xf numFmtId="0" fontId="30" fillId="3" borderId="7" xfId="0" applyFont="1" applyFill="1" applyBorder="1" applyAlignment="1" applyProtection="1">
      <alignment horizontal="left" vertical="center" indent="1"/>
      <protection locked="0"/>
    </xf>
    <xf numFmtId="14" fontId="30" fillId="3" borderId="6" xfId="0" applyNumberFormat="1" applyFont="1" applyFill="1" applyBorder="1" applyAlignment="1" applyProtection="1">
      <alignment horizontal="left" vertical="center" indent="1"/>
      <protection locked="0"/>
    </xf>
    <xf numFmtId="0" fontId="30" fillId="15" borderId="26" xfId="0" applyFont="1" applyFill="1" applyBorder="1" applyAlignment="1">
      <alignment horizontal="left" vertical="center" indent="1"/>
    </xf>
    <xf numFmtId="0" fontId="30" fillId="15" borderId="11" xfId="0" applyFont="1" applyFill="1" applyBorder="1" applyAlignment="1">
      <alignment horizontal="left" vertical="center" indent="1"/>
    </xf>
    <xf numFmtId="0" fontId="30" fillId="14" borderId="26" xfId="0" applyFont="1" applyFill="1" applyBorder="1" applyAlignment="1">
      <alignment horizontal="left" vertical="center" indent="1"/>
    </xf>
    <xf numFmtId="0" fontId="30" fillId="14" borderId="11" xfId="0" applyFont="1" applyFill="1" applyBorder="1" applyAlignment="1">
      <alignment horizontal="left" vertical="center" indent="1"/>
    </xf>
    <xf numFmtId="0" fontId="21" fillId="0" borderId="47" xfId="0" applyFont="1" applyBorder="1" applyAlignment="1">
      <alignment horizontal="left" vertical="center" wrapText="1" indent="1"/>
    </xf>
    <xf numFmtId="0" fontId="21" fillId="0" borderId="45" xfId="0" applyFont="1" applyBorder="1" applyAlignment="1">
      <alignment horizontal="left" vertical="center" wrapText="1" indent="1"/>
    </xf>
    <xf numFmtId="0" fontId="21" fillId="0" borderId="48" xfId="0" applyFont="1" applyBorder="1" applyAlignment="1">
      <alignment horizontal="left" vertical="center" wrapText="1" indent="1"/>
    </xf>
    <xf numFmtId="0" fontId="30" fillId="14" borderId="43" xfId="0" applyFont="1" applyFill="1" applyBorder="1" applyAlignment="1">
      <alignment horizontal="left" vertical="center" indent="1"/>
    </xf>
    <xf numFmtId="0" fontId="30" fillId="14" borderId="36" xfId="0" applyFont="1" applyFill="1" applyBorder="1" applyAlignment="1">
      <alignment horizontal="left" vertical="center" indent="1"/>
    </xf>
    <xf numFmtId="0" fontId="30" fillId="3" borderId="46" xfId="0" applyFont="1" applyFill="1" applyBorder="1" applyAlignment="1" applyProtection="1">
      <alignment horizontal="left" vertical="center" indent="1"/>
      <protection locked="0"/>
    </xf>
    <xf numFmtId="0" fontId="36" fillId="16" borderId="51" xfId="0" applyFont="1" applyFill="1" applyBorder="1" applyAlignment="1">
      <alignment horizontal="center" vertical="center"/>
    </xf>
    <xf numFmtId="0" fontId="36" fillId="16" borderId="34" xfId="0" applyFont="1" applyFill="1" applyBorder="1" applyAlignment="1">
      <alignment horizontal="center" vertical="center"/>
    </xf>
    <xf numFmtId="0" fontId="10" fillId="16" borderId="34" xfId="0" applyFont="1" applyFill="1" applyBorder="1" applyAlignment="1">
      <alignment horizontal="center" vertical="center"/>
    </xf>
    <xf numFmtId="0" fontId="10" fillId="16" borderId="24" xfId="0" applyFont="1" applyFill="1" applyBorder="1" applyAlignment="1">
      <alignment horizontal="center" vertical="center"/>
    </xf>
    <xf numFmtId="0" fontId="16" fillId="0" borderId="36" xfId="0" applyFont="1" applyBorder="1" applyAlignment="1">
      <alignment horizontal="left" vertical="top" wrapText="1" indent="1"/>
    </xf>
    <xf numFmtId="0" fontId="16" fillId="0" borderId="36" xfId="0" applyFont="1" applyBorder="1" applyAlignment="1">
      <alignment horizontal="left" vertical="center" wrapText="1" indent="1"/>
    </xf>
    <xf numFmtId="0" fontId="16" fillId="0" borderId="25" xfId="0" applyFont="1" applyBorder="1" applyAlignment="1">
      <alignment horizontal="left" vertical="center" wrapText="1" indent="1"/>
    </xf>
    <xf numFmtId="0" fontId="16" fillId="0" borderId="34" xfId="0" applyFont="1" applyBorder="1" applyAlignment="1">
      <alignment horizontal="left" vertical="center" wrapText="1" indent="1"/>
    </xf>
    <xf numFmtId="0" fontId="16" fillId="0" borderId="24" xfId="0" applyFont="1" applyBorder="1" applyAlignment="1">
      <alignment horizontal="left" vertical="center" wrapText="1" indent="1"/>
    </xf>
    <xf numFmtId="0" fontId="34" fillId="23" borderId="46" xfId="0" applyFont="1" applyFill="1" applyBorder="1" applyAlignment="1">
      <alignment horizontal="center" vertical="center"/>
    </xf>
    <xf numFmtId="0" fontId="19" fillId="11" borderId="64" xfId="0" applyFont="1" applyFill="1" applyBorder="1" applyAlignment="1">
      <alignment horizontal="center" vertical="center" wrapText="1"/>
    </xf>
    <xf numFmtId="0" fontId="19" fillId="11" borderId="26" xfId="0" applyFont="1" applyFill="1" applyBorder="1" applyAlignment="1">
      <alignment horizontal="center" vertical="center" wrapText="1"/>
    </xf>
    <xf numFmtId="14" fontId="33" fillId="0" borderId="1" xfId="0" applyNumberFormat="1" applyFont="1" applyBorder="1" applyAlignment="1" applyProtection="1">
      <alignment horizontal="center" vertical="center" wrapText="1"/>
      <protection locked="0"/>
    </xf>
    <xf numFmtId="0" fontId="33" fillId="0" borderId="1" xfId="0" applyFont="1" applyBorder="1" applyAlignment="1" applyProtection="1">
      <alignment horizontal="center" vertical="center" wrapText="1"/>
      <protection locked="0"/>
    </xf>
  </cellXfs>
  <cellStyles count="2">
    <cellStyle name="Normal" xfId="0" builtinId="0"/>
    <cellStyle name="Normal 4" xfId="1" xr:uid="{C94741CC-76E5-4B87-B026-F6A3487805A1}"/>
  </cellStyles>
  <dxfs count="558">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9933"/>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FF9933"/>
        </patternFill>
      </fill>
    </dxf>
    <dxf>
      <fill>
        <patternFill>
          <bgColor rgb="FF92D050"/>
        </patternFill>
      </fill>
    </dxf>
    <dxf>
      <fill>
        <patternFill>
          <bgColor rgb="FFFF0000"/>
        </patternFill>
      </fill>
    </dxf>
    <dxf>
      <fill>
        <patternFill>
          <bgColor theme="0" tint="-0.24994659260841701"/>
        </patternFill>
      </fill>
    </dxf>
    <dxf>
      <fill>
        <patternFill>
          <bgColor rgb="FFFF6600"/>
        </patternFill>
      </fill>
    </dxf>
    <dxf>
      <fill>
        <patternFill>
          <bgColor rgb="FF92D050"/>
        </patternFill>
      </fill>
    </dxf>
    <dxf>
      <fill>
        <patternFill>
          <bgColor rgb="FFFF0000"/>
        </patternFill>
      </fill>
    </dxf>
    <dxf>
      <fill>
        <patternFill>
          <bgColor theme="0" tint="-0.24994659260841701"/>
        </patternFill>
      </fill>
    </dxf>
    <dxf>
      <fill>
        <patternFill>
          <bgColor rgb="FFFF6600"/>
        </patternFill>
      </fill>
    </dxf>
    <dxf>
      <fill>
        <patternFill>
          <bgColor rgb="FF92D050"/>
        </patternFill>
      </fill>
    </dxf>
    <dxf>
      <fill>
        <patternFill>
          <bgColor rgb="FFFF0000"/>
        </patternFill>
      </fill>
    </dxf>
    <dxf>
      <fill>
        <patternFill>
          <bgColor theme="0" tint="-0.24994659260841701"/>
        </patternFill>
      </fill>
    </dxf>
    <dxf>
      <fill>
        <patternFill>
          <bgColor rgb="FFFF6600"/>
        </patternFill>
      </fill>
    </dxf>
    <dxf>
      <fill>
        <patternFill>
          <bgColor rgb="FF92D050"/>
        </patternFill>
      </fill>
    </dxf>
    <dxf>
      <fill>
        <patternFill>
          <bgColor rgb="FFFF0000"/>
        </patternFill>
      </fill>
    </dxf>
    <dxf>
      <fill>
        <patternFill>
          <bgColor theme="0" tint="-0.24994659260841701"/>
        </patternFill>
      </fill>
    </dxf>
    <dxf>
      <fill>
        <patternFill>
          <bgColor rgb="FFFF6600"/>
        </patternFill>
      </fill>
    </dxf>
    <dxf>
      <fill>
        <patternFill>
          <bgColor rgb="FF92D050"/>
        </patternFill>
      </fill>
    </dxf>
    <dxf>
      <fill>
        <patternFill>
          <bgColor rgb="FFFF0000"/>
        </patternFill>
      </fill>
    </dxf>
    <dxf>
      <fill>
        <patternFill>
          <bgColor theme="0" tint="-0.24994659260841701"/>
        </patternFill>
      </fill>
    </dxf>
    <dxf>
      <fill>
        <patternFill>
          <bgColor rgb="FFFF6600"/>
        </patternFill>
      </fill>
    </dxf>
    <dxf>
      <fill>
        <patternFill>
          <bgColor rgb="FF92D050"/>
        </patternFill>
      </fill>
    </dxf>
    <dxf>
      <fill>
        <patternFill>
          <bgColor rgb="FFFF0000"/>
        </patternFill>
      </fill>
    </dxf>
    <dxf>
      <fill>
        <patternFill>
          <bgColor theme="0" tint="-0.24994659260841701"/>
        </patternFill>
      </fill>
    </dxf>
    <dxf>
      <fill>
        <patternFill>
          <bgColor rgb="FFFF6600"/>
        </patternFill>
      </fill>
    </dxf>
    <dxf>
      <fill>
        <patternFill>
          <bgColor rgb="FF92D050"/>
        </patternFill>
      </fill>
    </dxf>
    <dxf>
      <fill>
        <patternFill>
          <bgColor rgb="FFFF0000"/>
        </patternFill>
      </fill>
    </dxf>
    <dxf>
      <fill>
        <patternFill>
          <bgColor theme="0" tint="-0.24994659260841701"/>
        </patternFill>
      </fill>
    </dxf>
    <dxf>
      <fill>
        <patternFill>
          <bgColor rgb="FFFF6600"/>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rgb="FF92D050"/>
        </patternFill>
      </fill>
    </dxf>
    <dxf>
      <fill>
        <patternFill>
          <bgColor rgb="FFFF0000"/>
        </patternFill>
      </fill>
    </dxf>
    <dxf>
      <fill>
        <patternFill>
          <bgColor theme="0" tint="-0.24994659260841701"/>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2" tint="-0.499984740745262"/>
        </patternFill>
      </fill>
    </dxf>
  </dxfs>
  <tableStyles count="0" defaultTableStyle="TableStyleMedium2" defaultPivotStyle="PivotStyleLight16"/>
  <colors>
    <mruColors>
      <color rgb="FFFF6600"/>
      <color rgb="FFFF9933"/>
      <color rgb="FFFF3300"/>
      <color rgb="FF96BE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25400</xdr:colOff>
          <xdr:row>55</xdr:row>
          <xdr:rowOff>50800</xdr:rowOff>
        </xdr:from>
        <xdr:to>
          <xdr:col>19</xdr:col>
          <xdr:colOff>0</xdr:colOff>
          <xdr:row>55</xdr:row>
          <xdr:rowOff>469900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81</xdr:row>
          <xdr:rowOff>31750</xdr:rowOff>
        </xdr:from>
        <xdr:to>
          <xdr:col>18</xdr:col>
          <xdr:colOff>1212850</xdr:colOff>
          <xdr:row>81</xdr:row>
          <xdr:rowOff>533400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25400</xdr:colOff>
          <xdr:row>140</xdr:row>
          <xdr:rowOff>552450</xdr:rowOff>
        </xdr:from>
        <xdr:to>
          <xdr:col>18</xdr:col>
          <xdr:colOff>1200150</xdr:colOff>
          <xdr:row>141</xdr:row>
          <xdr:rowOff>552450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25400</xdr:colOff>
          <xdr:row>219</xdr:row>
          <xdr:rowOff>469900</xdr:rowOff>
        </xdr:from>
        <xdr:to>
          <xdr:col>18</xdr:col>
          <xdr:colOff>1212850</xdr:colOff>
          <xdr:row>220</xdr:row>
          <xdr:rowOff>469900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31750</xdr:colOff>
          <xdr:row>179</xdr:row>
          <xdr:rowOff>0</xdr:rowOff>
        </xdr:from>
        <xdr:to>
          <xdr:col>19</xdr:col>
          <xdr:colOff>0</xdr:colOff>
          <xdr:row>179</xdr:row>
          <xdr:rowOff>450850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25400</xdr:colOff>
          <xdr:row>188</xdr:row>
          <xdr:rowOff>546100</xdr:rowOff>
        </xdr:from>
        <xdr:to>
          <xdr:col>19</xdr:col>
          <xdr:colOff>0</xdr:colOff>
          <xdr:row>189</xdr:row>
          <xdr:rowOff>501650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Validate</a:t>
              </a:r>
            </a:p>
          </xdr:txBody>
        </xdr:sp>
        <xdr:clientData fPrintsWithSheet="0"/>
      </xdr:twoCellAnchor>
    </mc:Choice>
    <mc:Fallback/>
  </mc:AlternateContent>
  <xdr:twoCellAnchor>
    <xdr:from>
      <xdr:col>5</xdr:col>
      <xdr:colOff>76200</xdr:colOff>
      <xdr:row>55</xdr:row>
      <xdr:rowOff>0</xdr:rowOff>
    </xdr:from>
    <xdr:to>
      <xdr:col>5</xdr:col>
      <xdr:colOff>279400</xdr:colOff>
      <xdr:row>55</xdr:row>
      <xdr:rowOff>203200</xdr:rowOff>
    </xdr:to>
    <xdr:sp macro="[1]!dp_core.gridDP_Click" textlink="">
      <xdr:nvSpPr>
        <xdr:cNvPr id="4" name="Rectangle 3">
          <a:extLst>
            <a:ext uri="{FF2B5EF4-FFF2-40B4-BE49-F238E27FC236}">
              <a16:creationId xmlns:a16="http://schemas.microsoft.com/office/drawing/2014/main" id="{47754F56-1E41-816D-6316-B5C48F4B1516}"/>
            </a:ext>
          </a:extLst>
        </xdr:cNvPr>
        <xdr:cNvSpPr/>
      </xdr:nvSpPr>
      <xdr:spPr>
        <a:xfrm>
          <a:off x="2997200" y="24999950"/>
          <a:ext cx="203200" cy="203200"/>
        </a:xfrm>
        <a:prstGeom prst="rect">
          <a:avLst/>
        </a:prstGeom>
        <a:blipFill dpi="0" rotWithShape="1">
          <a:blip xmlns:r="http://schemas.openxmlformats.org/officeDocument/2006/relationships" r:embed="rId1"/>
          <a:srcRect/>
          <a:stretch>
            <a:fillRect/>
          </a:stretch>
        </a:blip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76200</xdr:colOff>
      <xdr:row>55</xdr:row>
      <xdr:rowOff>0</xdr:rowOff>
    </xdr:from>
    <xdr:to>
      <xdr:col>5</xdr:col>
      <xdr:colOff>279400</xdr:colOff>
      <xdr:row>55</xdr:row>
      <xdr:rowOff>203200</xdr:rowOff>
    </xdr:to>
    <xdr:sp macro="[1]!dp_core.gridDP_Click" textlink="">
      <xdr:nvSpPr>
        <xdr:cNvPr id="28" name="Rectangle 27">
          <a:extLst>
            <a:ext uri="{FF2B5EF4-FFF2-40B4-BE49-F238E27FC236}">
              <a16:creationId xmlns:a16="http://schemas.microsoft.com/office/drawing/2014/main" id="{20AE3992-166C-77EB-A00E-33B2E0E694A8}"/>
            </a:ext>
          </a:extLst>
        </xdr:cNvPr>
        <xdr:cNvSpPr/>
      </xdr:nvSpPr>
      <xdr:spPr>
        <a:xfrm>
          <a:off x="2997200" y="24999950"/>
          <a:ext cx="203200" cy="203200"/>
        </a:xfrm>
        <a:prstGeom prst="rect">
          <a:avLst/>
        </a:prstGeom>
        <a:blipFill dpi="0" rotWithShape="1">
          <a:blip xmlns:r="http://schemas.openxmlformats.org/officeDocument/2006/relationships" r:embed="rId1"/>
          <a:srcRect/>
          <a:stretch>
            <a:fillRect/>
          </a:stretch>
        </a:blip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31750</xdr:rowOff>
        </xdr:from>
        <xdr:to>
          <xdr:col>2</xdr:col>
          <xdr:colOff>717550</xdr:colOff>
          <xdr:row>0</xdr:row>
          <xdr:rowOff>304800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107950</xdr:colOff>
          <xdr:row>0</xdr:row>
          <xdr:rowOff>101600</xdr:rowOff>
        </xdr:from>
        <xdr:to>
          <xdr:col>3</xdr:col>
          <xdr:colOff>438150</xdr:colOff>
          <xdr:row>0</xdr:row>
          <xdr:rowOff>374650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0</xdr:row>
          <xdr:rowOff>107950</xdr:rowOff>
        </xdr:from>
        <xdr:to>
          <xdr:col>3</xdr:col>
          <xdr:colOff>412750</xdr:colOff>
          <xdr:row>0</xdr:row>
          <xdr:rowOff>381000</xdr:rowOff>
        </xdr:to>
        <xdr:sp macro="" textlink="">
          <xdr:nvSpPr>
            <xdr:cNvPr id="4099" name="CommandButton1"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0</xdr:row>
          <xdr:rowOff>107950</xdr:rowOff>
        </xdr:from>
        <xdr:to>
          <xdr:col>3</xdr:col>
          <xdr:colOff>412750</xdr:colOff>
          <xdr:row>0</xdr:row>
          <xdr:rowOff>381000</xdr:rowOff>
        </xdr:to>
        <xdr:sp macro="" textlink="">
          <xdr:nvSpPr>
            <xdr:cNvPr id="5122" name="CommandButton1"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0</xdr:row>
          <xdr:rowOff>107950</xdr:rowOff>
        </xdr:from>
        <xdr:to>
          <xdr:col>3</xdr:col>
          <xdr:colOff>463550</xdr:colOff>
          <xdr:row>0</xdr:row>
          <xdr:rowOff>381000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0</xdr:row>
          <xdr:rowOff>107950</xdr:rowOff>
        </xdr:from>
        <xdr:to>
          <xdr:col>3</xdr:col>
          <xdr:colOff>463550</xdr:colOff>
          <xdr:row>0</xdr:row>
          <xdr:rowOff>381000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startup\samradapps_datepicker_221114.xlam" TargetMode="External"/><Relationship Id="rId1" Type="http://schemas.microsoft.com/office/2006/relationships/xlExternalLinkPath/xlStartup" Target="samradapps_datepicker_221114.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_data12345"/>
      <sheetName val="Sheet1"/>
      <sheetName val="samradapps_datepicker_221114"/>
    </sheetNames>
    <definedNames>
      <definedName name="dp_core.gridDP_Click"/>
    </defined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6.emf"/></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F0662-BB90-460F-8621-EDE9712CFEFC}">
  <sheetPr codeName="Sheet1"/>
  <dimension ref="A1:XFC221"/>
  <sheetViews>
    <sheetView showGridLines="0" tabSelected="1" topLeftCell="B4" zoomScale="76" zoomScaleNormal="85" workbookViewId="0">
      <selection activeCell="C4" sqref="C4:N6"/>
    </sheetView>
  </sheetViews>
  <sheetFormatPr defaultColWidth="0" defaultRowHeight="14.5" x14ac:dyDescent="0.35"/>
  <cols>
    <col min="1" max="2" width="2.7265625" customWidth="1"/>
    <col min="3" max="4" width="8.7265625" customWidth="1"/>
    <col min="5" max="5" width="18.90625" customWidth="1"/>
    <col min="6" max="7" width="8.7265625" customWidth="1"/>
    <col min="8" max="8" width="17.7265625" customWidth="1"/>
    <col min="9" max="9" width="9.08984375" customWidth="1"/>
    <col min="10" max="10" width="10.453125" customWidth="1"/>
    <col min="11" max="11" width="16.1796875" customWidth="1"/>
    <col min="12" max="12" width="11" customWidth="1"/>
    <col min="13" max="13" width="4.6328125" customWidth="1"/>
    <col min="14" max="14" width="12.36328125" customWidth="1"/>
    <col min="15" max="15" width="12.453125" customWidth="1"/>
    <col min="16" max="16" width="16.81640625" customWidth="1"/>
    <col min="17" max="17" width="10.26953125" customWidth="1"/>
    <col min="18" max="18" width="25.90625" customWidth="1"/>
    <col min="19" max="19" width="16" customWidth="1"/>
    <col min="20" max="26" width="12.6328125" style="18" hidden="1"/>
    <col min="27" max="16383" width="1.6328125" style="18" hidden="1"/>
    <col min="16384" max="16384" width="2.1796875" style="18" hidden="1"/>
  </cols>
  <sheetData>
    <row r="1" spans="3:21" x14ac:dyDescent="0.35">
      <c r="T1" s="72" t="s">
        <v>544</v>
      </c>
      <c r="U1" s="72">
        <v>0</v>
      </c>
    </row>
    <row r="3" spans="3:21" ht="15" thickBot="1" x14ac:dyDescent="0.4"/>
    <row r="4" spans="3:21" ht="15.5" customHeight="1" x14ac:dyDescent="0.35">
      <c r="C4" s="216" t="s">
        <v>545</v>
      </c>
      <c r="D4" s="217"/>
      <c r="E4" s="217"/>
      <c r="F4" s="217"/>
      <c r="G4" s="217"/>
      <c r="H4" s="217"/>
      <c r="I4" s="217"/>
      <c r="J4" s="217"/>
      <c r="K4" s="217"/>
      <c r="L4" s="217"/>
      <c r="M4" s="217"/>
      <c r="N4" s="218"/>
      <c r="O4" s="191" t="s">
        <v>149</v>
      </c>
      <c r="P4" s="191"/>
      <c r="Q4" s="191" t="s">
        <v>546</v>
      </c>
      <c r="R4" s="194"/>
      <c r="S4" s="4"/>
    </row>
    <row r="5" spans="3:21" ht="15.5" customHeight="1" x14ac:dyDescent="0.35">
      <c r="C5" s="219"/>
      <c r="D5" s="220"/>
      <c r="E5" s="220"/>
      <c r="F5" s="220"/>
      <c r="G5" s="220"/>
      <c r="H5" s="220"/>
      <c r="I5" s="220"/>
      <c r="J5" s="220"/>
      <c r="K5" s="220"/>
      <c r="L5" s="220"/>
      <c r="M5" s="220"/>
      <c r="N5" s="221"/>
      <c r="O5" s="192" t="s">
        <v>150</v>
      </c>
      <c r="P5" s="192"/>
      <c r="Q5" s="195">
        <v>3</v>
      </c>
      <c r="R5" s="196"/>
      <c r="S5" s="5"/>
    </row>
    <row r="6" spans="3:21" ht="15" customHeight="1" thickBot="1" x14ac:dyDescent="0.4">
      <c r="C6" s="222"/>
      <c r="D6" s="223"/>
      <c r="E6" s="223"/>
      <c r="F6" s="223"/>
      <c r="G6" s="223"/>
      <c r="H6" s="223"/>
      <c r="I6" s="223"/>
      <c r="J6" s="223"/>
      <c r="K6" s="223"/>
      <c r="L6" s="223"/>
      <c r="M6" s="223"/>
      <c r="N6" s="224"/>
      <c r="O6" s="193" t="s">
        <v>151</v>
      </c>
      <c r="P6" s="193"/>
      <c r="Q6" s="197">
        <v>45540</v>
      </c>
      <c r="R6" s="198"/>
      <c r="S6" s="6"/>
    </row>
    <row r="7" spans="3:21" ht="30" customHeight="1" x14ac:dyDescent="0.35">
      <c r="C7" s="225" t="s">
        <v>396</v>
      </c>
      <c r="D7" s="226"/>
      <c r="E7" s="226"/>
      <c r="F7" s="200"/>
      <c r="G7" s="200"/>
      <c r="H7" s="200"/>
      <c r="I7" s="200"/>
      <c r="J7" s="200"/>
      <c r="K7" s="200"/>
      <c r="L7" s="200"/>
      <c r="M7" s="200"/>
      <c r="N7" s="200"/>
      <c r="O7" s="199" t="s">
        <v>152</v>
      </c>
      <c r="P7" s="199"/>
      <c r="Q7" s="200"/>
      <c r="R7" s="201"/>
      <c r="S7" s="7"/>
    </row>
    <row r="8" spans="3:21" ht="30" customHeight="1" x14ac:dyDescent="0.35">
      <c r="C8" s="214" t="s">
        <v>153</v>
      </c>
      <c r="D8" s="215"/>
      <c r="E8" s="215"/>
      <c r="F8" s="227"/>
      <c r="G8" s="228"/>
      <c r="H8" s="228"/>
      <c r="I8" s="228"/>
      <c r="J8" s="228"/>
      <c r="K8" s="228"/>
      <c r="L8" s="228"/>
      <c r="M8" s="228"/>
      <c r="N8" s="229"/>
      <c r="O8" s="235" t="s">
        <v>164</v>
      </c>
      <c r="P8" s="235"/>
      <c r="Q8" s="208"/>
      <c r="R8" s="233"/>
      <c r="S8" s="7"/>
    </row>
    <row r="9" spans="3:21" ht="30" customHeight="1" x14ac:dyDescent="0.35">
      <c r="C9" s="214" t="s">
        <v>154</v>
      </c>
      <c r="D9" s="215"/>
      <c r="E9" s="215"/>
      <c r="F9" s="230"/>
      <c r="G9" s="230"/>
      <c r="H9" s="230"/>
      <c r="I9" s="208"/>
      <c r="J9" s="208"/>
      <c r="K9" s="208"/>
      <c r="L9" s="230"/>
      <c r="M9" s="230"/>
      <c r="N9" s="230"/>
      <c r="O9" s="235" t="s">
        <v>165</v>
      </c>
      <c r="P9" s="235"/>
      <c r="Q9" s="208"/>
      <c r="R9" s="233"/>
      <c r="S9" s="7"/>
    </row>
    <row r="10" spans="3:21" ht="30" customHeight="1" x14ac:dyDescent="0.35">
      <c r="C10" s="214" t="s">
        <v>155</v>
      </c>
      <c r="D10" s="215"/>
      <c r="E10" s="215"/>
      <c r="F10" s="208"/>
      <c r="G10" s="208"/>
      <c r="H10" s="208"/>
      <c r="I10" s="231" t="s">
        <v>163</v>
      </c>
      <c r="J10" s="232"/>
      <c r="K10" s="232"/>
      <c r="L10" s="208"/>
      <c r="M10" s="208"/>
      <c r="N10" s="208"/>
      <c r="O10" s="234" t="s">
        <v>166</v>
      </c>
      <c r="P10" s="235"/>
      <c r="Q10" s="208"/>
      <c r="R10" s="233"/>
      <c r="S10" s="7"/>
    </row>
    <row r="11" spans="3:21" ht="30" customHeight="1" x14ac:dyDescent="0.35">
      <c r="C11" s="214" t="s">
        <v>156</v>
      </c>
      <c r="D11" s="215"/>
      <c r="E11" s="215"/>
      <c r="F11" s="208"/>
      <c r="G11" s="208"/>
      <c r="H11" s="208"/>
      <c r="I11" s="205" t="s">
        <v>174</v>
      </c>
      <c r="J11" s="206"/>
      <c r="K11" s="206"/>
      <c r="L11" s="207"/>
      <c r="M11" s="208"/>
      <c r="N11" s="208"/>
      <c r="O11" s="234" t="s">
        <v>167</v>
      </c>
      <c r="P11" s="235"/>
      <c r="Q11" s="207"/>
      <c r="R11" s="233"/>
      <c r="S11" s="7"/>
    </row>
    <row r="12" spans="3:21" ht="30" customHeight="1" x14ac:dyDescent="0.35">
      <c r="C12" s="214" t="s">
        <v>398</v>
      </c>
      <c r="D12" s="215"/>
      <c r="E12" s="215"/>
      <c r="F12" s="208"/>
      <c r="G12" s="208"/>
      <c r="H12" s="208"/>
      <c r="I12" s="205" t="s">
        <v>175</v>
      </c>
      <c r="J12" s="206"/>
      <c r="K12" s="206"/>
      <c r="L12" s="207"/>
      <c r="M12" s="208"/>
      <c r="N12" s="208"/>
      <c r="O12" s="234" t="s">
        <v>168</v>
      </c>
      <c r="P12" s="235"/>
      <c r="Q12" s="207"/>
      <c r="R12" s="233"/>
      <c r="S12" s="7"/>
    </row>
    <row r="13" spans="3:21" ht="30" customHeight="1" x14ac:dyDescent="0.35">
      <c r="C13" s="214" t="s">
        <v>397</v>
      </c>
      <c r="D13" s="215"/>
      <c r="E13" s="215"/>
      <c r="F13" s="208"/>
      <c r="G13" s="208"/>
      <c r="H13" s="208"/>
      <c r="I13" s="205" t="s">
        <v>176</v>
      </c>
      <c r="J13" s="206"/>
      <c r="K13" s="206"/>
      <c r="L13" s="208"/>
      <c r="M13" s="208"/>
      <c r="N13" s="208"/>
      <c r="O13" s="234" t="s">
        <v>169</v>
      </c>
      <c r="P13" s="235"/>
      <c r="Q13" s="207"/>
      <c r="R13" s="233"/>
      <c r="S13" s="7"/>
    </row>
    <row r="14" spans="3:21" ht="30" customHeight="1" x14ac:dyDescent="0.35">
      <c r="C14" s="214" t="s">
        <v>157</v>
      </c>
      <c r="D14" s="215"/>
      <c r="E14" s="215"/>
      <c r="F14" s="208"/>
      <c r="G14" s="208"/>
      <c r="H14" s="208"/>
      <c r="I14" s="205" t="s">
        <v>399</v>
      </c>
      <c r="J14" s="206"/>
      <c r="K14" s="206"/>
      <c r="L14" s="211"/>
      <c r="M14" s="212"/>
      <c r="N14" s="213"/>
      <c r="O14" s="234" t="s">
        <v>8</v>
      </c>
      <c r="P14" s="235"/>
      <c r="Q14" s="208"/>
      <c r="R14" s="233"/>
      <c r="S14" s="7"/>
    </row>
    <row r="15" spans="3:21" ht="30" customHeight="1" x14ac:dyDescent="0.35">
      <c r="C15" s="214" t="s">
        <v>158</v>
      </c>
      <c r="D15" s="215"/>
      <c r="E15" s="215"/>
      <c r="F15" s="208"/>
      <c r="G15" s="208"/>
      <c r="H15" s="208"/>
      <c r="I15" s="205" t="s">
        <v>177</v>
      </c>
      <c r="J15" s="206"/>
      <c r="K15" s="206"/>
      <c r="L15" s="207"/>
      <c r="M15" s="208"/>
      <c r="N15" s="208"/>
      <c r="O15" s="234" t="s">
        <v>170</v>
      </c>
      <c r="P15" s="235"/>
      <c r="Q15" s="207"/>
      <c r="R15" s="233"/>
      <c r="S15" s="7"/>
    </row>
    <row r="16" spans="3:21" ht="30" customHeight="1" x14ac:dyDescent="0.35">
      <c r="C16" s="214" t="s">
        <v>159</v>
      </c>
      <c r="D16" s="215"/>
      <c r="E16" s="215"/>
      <c r="F16" s="208"/>
      <c r="G16" s="208"/>
      <c r="H16" s="208"/>
      <c r="I16" s="205" t="s">
        <v>178</v>
      </c>
      <c r="J16" s="206"/>
      <c r="K16" s="206"/>
      <c r="L16" s="209"/>
      <c r="M16" s="210"/>
      <c r="N16" s="210"/>
      <c r="O16" s="234" t="s">
        <v>171</v>
      </c>
      <c r="P16" s="235"/>
      <c r="Q16" s="208"/>
      <c r="R16" s="233"/>
      <c r="S16" s="7"/>
    </row>
    <row r="17" spans="3:37" ht="30" customHeight="1" x14ac:dyDescent="0.35">
      <c r="C17" s="214" t="s">
        <v>160</v>
      </c>
      <c r="D17" s="215"/>
      <c r="E17" s="215"/>
      <c r="F17" s="208"/>
      <c r="G17" s="208"/>
      <c r="H17" s="208"/>
      <c r="I17" s="205" t="s">
        <v>160</v>
      </c>
      <c r="J17" s="206"/>
      <c r="K17" s="206"/>
      <c r="L17" s="208"/>
      <c r="M17" s="208"/>
      <c r="N17" s="208"/>
      <c r="O17" s="234" t="s">
        <v>160</v>
      </c>
      <c r="P17" s="235"/>
      <c r="Q17" s="208"/>
      <c r="R17" s="233"/>
      <c r="S17" s="7"/>
    </row>
    <row r="18" spans="3:37" ht="30" customHeight="1" x14ac:dyDescent="0.35">
      <c r="C18" s="214" t="s">
        <v>160</v>
      </c>
      <c r="D18" s="215"/>
      <c r="E18" s="215"/>
      <c r="F18" s="227"/>
      <c r="G18" s="228"/>
      <c r="H18" s="229"/>
      <c r="I18" s="267" t="s">
        <v>400</v>
      </c>
      <c r="J18" s="268"/>
      <c r="K18" s="205"/>
      <c r="L18" s="227"/>
      <c r="M18" s="228"/>
      <c r="N18" s="229"/>
      <c r="O18" s="234" t="s">
        <v>172</v>
      </c>
      <c r="P18" s="235"/>
      <c r="Q18" s="227"/>
      <c r="R18" s="269"/>
      <c r="S18" s="7"/>
    </row>
    <row r="19" spans="3:37" ht="30" customHeight="1" thickBot="1" x14ac:dyDescent="0.4">
      <c r="C19" s="214" t="s">
        <v>161</v>
      </c>
      <c r="D19" s="215"/>
      <c r="E19" s="215"/>
      <c r="F19" s="208"/>
      <c r="G19" s="208"/>
      <c r="H19" s="208"/>
      <c r="I19" s="205" t="s">
        <v>179</v>
      </c>
      <c r="J19" s="206"/>
      <c r="K19" s="206"/>
      <c r="L19" s="208"/>
      <c r="M19" s="208"/>
      <c r="N19" s="208"/>
      <c r="O19" s="260" t="s">
        <v>173</v>
      </c>
      <c r="P19" s="261"/>
      <c r="Q19" s="257"/>
      <c r="R19" s="258"/>
      <c r="S19" s="7"/>
    </row>
    <row r="20" spans="3:37" ht="30" customHeight="1" thickBot="1" x14ac:dyDescent="0.4">
      <c r="C20" s="202" t="s">
        <v>162</v>
      </c>
      <c r="D20" s="203"/>
      <c r="E20" s="203"/>
      <c r="F20" s="204"/>
      <c r="G20" s="204"/>
      <c r="H20" s="204"/>
      <c r="I20" s="262" t="s">
        <v>180</v>
      </c>
      <c r="J20" s="263"/>
      <c r="K20" s="263"/>
      <c r="L20" s="204"/>
      <c r="M20" s="204"/>
      <c r="N20" s="204"/>
      <c r="O20" s="260" t="s">
        <v>401</v>
      </c>
      <c r="P20" s="261"/>
      <c r="Q20" s="259"/>
      <c r="R20" s="258"/>
      <c r="S20" s="8"/>
    </row>
    <row r="21" spans="3:37" ht="7.5" customHeight="1" thickBot="1" x14ac:dyDescent="0.5">
      <c r="C21" s="244"/>
      <c r="D21" s="245"/>
      <c r="E21" s="245"/>
      <c r="F21" s="245"/>
      <c r="G21" s="245"/>
      <c r="H21" s="245"/>
      <c r="I21" s="245"/>
      <c r="J21" s="245"/>
      <c r="K21" s="245"/>
      <c r="L21" s="245"/>
      <c r="M21" s="245"/>
      <c r="N21" s="245"/>
      <c r="O21" s="245"/>
      <c r="P21" s="245"/>
      <c r="Q21" s="245"/>
      <c r="R21" s="246"/>
      <c r="S21" s="9"/>
      <c r="U21" s="19"/>
      <c r="V21" s="19"/>
      <c r="W21" s="19"/>
      <c r="X21" s="19"/>
      <c r="Y21" s="19"/>
      <c r="Z21" s="19"/>
      <c r="AA21" s="19"/>
      <c r="AB21" s="19"/>
      <c r="AC21" s="19"/>
      <c r="AD21" s="19"/>
      <c r="AE21" s="19"/>
      <c r="AF21" s="19"/>
      <c r="AG21" s="19"/>
      <c r="AH21" s="19"/>
      <c r="AI21" s="19"/>
      <c r="AJ21" s="19"/>
      <c r="AK21" s="19"/>
    </row>
    <row r="22" spans="3:37" ht="22.5" customHeight="1" thickBot="1" x14ac:dyDescent="0.4">
      <c r="C22" s="82" t="s">
        <v>181</v>
      </c>
      <c r="D22" s="83"/>
      <c r="E22" s="83"/>
      <c r="F22" s="83"/>
      <c r="G22" s="83"/>
      <c r="H22" s="83"/>
      <c r="I22" s="83"/>
      <c r="J22" s="83"/>
      <c r="K22" s="83"/>
      <c r="L22" s="83"/>
      <c r="M22" s="83"/>
      <c r="N22" s="83"/>
      <c r="O22" s="83"/>
      <c r="P22" s="84"/>
      <c r="Q22" s="247" t="s">
        <v>182</v>
      </c>
      <c r="R22" s="248"/>
      <c r="S22" s="32"/>
      <c r="U22" s="19"/>
      <c r="V22" s="19"/>
      <c r="W22" s="19"/>
      <c r="X22" s="19"/>
      <c r="Y22" s="19"/>
      <c r="Z22" s="19"/>
      <c r="AA22" s="19"/>
      <c r="AB22" s="19"/>
      <c r="AC22" s="19"/>
      <c r="AD22" s="19"/>
      <c r="AE22" s="19"/>
      <c r="AF22" s="19"/>
      <c r="AG22" s="19"/>
      <c r="AH22" s="19"/>
      <c r="AI22" s="19"/>
      <c r="AJ22" s="19"/>
      <c r="AK22" s="19"/>
    </row>
    <row r="23" spans="3:37" ht="22.5" customHeight="1" x14ac:dyDescent="0.35">
      <c r="C23" s="85" t="s">
        <v>183</v>
      </c>
      <c r="D23" s="86"/>
      <c r="E23" s="86"/>
      <c r="F23" s="86"/>
      <c r="G23" s="86"/>
      <c r="H23" s="86"/>
      <c r="I23" s="86"/>
      <c r="J23" s="86"/>
      <c r="K23" s="86"/>
      <c r="L23" s="86"/>
      <c r="M23" s="86"/>
      <c r="N23" s="86"/>
      <c r="O23" s="86"/>
      <c r="P23" s="86"/>
      <c r="Q23" s="249"/>
      <c r="R23" s="250"/>
      <c r="S23" s="33"/>
      <c r="U23" s="19"/>
      <c r="V23" s="19"/>
      <c r="W23" s="19"/>
      <c r="X23" s="19"/>
      <c r="Y23" s="19"/>
      <c r="Z23" s="19"/>
      <c r="AA23" s="19"/>
      <c r="AB23" s="19"/>
      <c r="AC23" s="19"/>
      <c r="AD23" s="19"/>
      <c r="AE23" s="19"/>
      <c r="AF23" s="19"/>
      <c r="AG23" s="19"/>
      <c r="AH23" s="19"/>
      <c r="AI23" s="19"/>
      <c r="AJ23" s="19"/>
      <c r="AK23" s="19"/>
    </row>
    <row r="24" spans="3:37" ht="22.5" customHeight="1" x14ac:dyDescent="0.35">
      <c r="C24" s="85" t="s">
        <v>184</v>
      </c>
      <c r="D24" s="86"/>
      <c r="E24" s="86"/>
      <c r="F24" s="86"/>
      <c r="G24" s="86"/>
      <c r="H24" s="86"/>
      <c r="I24" s="86"/>
      <c r="J24" s="86"/>
      <c r="K24" s="86"/>
      <c r="L24" s="86"/>
      <c r="M24" s="86"/>
      <c r="N24" s="86"/>
      <c r="O24" s="86"/>
      <c r="P24" s="86"/>
      <c r="Q24" s="251"/>
      <c r="R24" s="252"/>
      <c r="S24" s="33"/>
      <c r="U24" s="19"/>
      <c r="V24" s="19"/>
      <c r="W24" s="19"/>
      <c r="X24" s="19"/>
      <c r="Y24" s="19"/>
      <c r="Z24" s="19"/>
      <c r="AA24" s="19"/>
      <c r="AB24" s="19"/>
      <c r="AC24" s="19"/>
      <c r="AD24" s="19"/>
      <c r="AE24" s="19"/>
      <c r="AF24" s="19"/>
      <c r="AG24" s="19"/>
      <c r="AH24" s="19"/>
      <c r="AI24" s="19"/>
      <c r="AJ24" s="19"/>
      <c r="AK24" s="19"/>
    </row>
    <row r="25" spans="3:37" ht="22.5" customHeight="1" x14ac:dyDescent="0.35">
      <c r="C25" s="85" t="s">
        <v>185</v>
      </c>
      <c r="D25" s="86"/>
      <c r="E25" s="86"/>
      <c r="F25" s="86"/>
      <c r="G25" s="86"/>
      <c r="H25" s="86"/>
      <c r="I25" s="86"/>
      <c r="J25" s="86"/>
      <c r="K25" s="86"/>
      <c r="L25" s="86"/>
      <c r="M25" s="86"/>
      <c r="N25" s="86"/>
      <c r="O25" s="86"/>
      <c r="P25" s="86"/>
      <c r="Q25" s="253"/>
      <c r="R25" s="254"/>
      <c r="S25" s="33"/>
      <c r="U25" s="19"/>
      <c r="V25" s="19"/>
      <c r="W25" s="19"/>
      <c r="X25" s="19"/>
      <c r="Y25" s="19"/>
      <c r="Z25" s="19"/>
      <c r="AA25" s="19"/>
      <c r="AB25" s="19"/>
      <c r="AC25" s="19"/>
      <c r="AD25" s="19"/>
      <c r="AE25" s="19"/>
      <c r="AF25" s="19"/>
      <c r="AG25" s="19"/>
      <c r="AH25" s="19"/>
      <c r="AI25" s="19"/>
      <c r="AJ25" s="19"/>
      <c r="AK25" s="19"/>
    </row>
    <row r="26" spans="3:37" ht="22.5" customHeight="1" thickBot="1" x14ac:dyDescent="0.4">
      <c r="C26" s="85" t="s">
        <v>186</v>
      </c>
      <c r="D26" s="86"/>
      <c r="E26" s="86"/>
      <c r="F26" s="86"/>
      <c r="G26" s="86"/>
      <c r="H26" s="86"/>
      <c r="I26" s="86"/>
      <c r="J26" s="86"/>
      <c r="K26" s="86"/>
      <c r="L26" s="86"/>
      <c r="M26" s="86"/>
      <c r="N26" s="86"/>
      <c r="O26" s="86"/>
      <c r="P26" s="86"/>
      <c r="Q26" s="255"/>
      <c r="R26" s="256"/>
      <c r="S26" s="34"/>
      <c r="U26" s="19"/>
      <c r="V26" s="19"/>
      <c r="W26" s="19"/>
      <c r="X26" s="19"/>
      <c r="Y26" s="19"/>
      <c r="Z26" s="19"/>
      <c r="AA26" s="19"/>
      <c r="AB26" s="19"/>
      <c r="AC26" s="19"/>
      <c r="AD26" s="19"/>
      <c r="AE26" s="19"/>
      <c r="AF26" s="19"/>
      <c r="AG26" s="19"/>
      <c r="AH26" s="19"/>
      <c r="AI26" s="19"/>
      <c r="AJ26" s="19"/>
      <c r="AK26" s="19"/>
    </row>
    <row r="27" spans="3:37" ht="22.5" customHeight="1" x14ac:dyDescent="0.35">
      <c r="C27" s="242" t="s">
        <v>187</v>
      </c>
      <c r="D27" s="243"/>
      <c r="E27" s="243"/>
      <c r="F27" s="243"/>
      <c r="G27" s="243"/>
      <c r="H27" s="243"/>
      <c r="I27" s="243"/>
      <c r="J27" s="243"/>
      <c r="K27" s="243"/>
      <c r="L27" s="243"/>
      <c r="M27" s="243"/>
      <c r="N27" s="243" t="s">
        <v>188</v>
      </c>
      <c r="O27" s="243"/>
      <c r="P27" s="243" t="s">
        <v>189</v>
      </c>
      <c r="Q27" s="243"/>
      <c r="R27" s="243"/>
      <c r="S27" s="7"/>
      <c r="U27" s="19"/>
      <c r="V27" s="19"/>
      <c r="W27" s="19"/>
      <c r="X27" s="19"/>
      <c r="Y27" s="19"/>
      <c r="Z27" s="19"/>
      <c r="AA27" s="19"/>
      <c r="AB27" s="19"/>
      <c r="AC27" s="19"/>
      <c r="AD27" s="19"/>
      <c r="AE27" s="19"/>
      <c r="AF27" s="19"/>
      <c r="AG27" s="19"/>
      <c r="AH27" s="19"/>
      <c r="AI27" s="19"/>
      <c r="AJ27" s="19"/>
      <c r="AK27" s="19"/>
    </row>
    <row r="28" spans="3:37" ht="35.5" customHeight="1" x14ac:dyDescent="0.35">
      <c r="C28" s="23">
        <v>1</v>
      </c>
      <c r="D28" s="270" t="s">
        <v>190</v>
      </c>
      <c r="E28" s="271"/>
      <c r="F28" s="271"/>
      <c r="G28" s="271"/>
      <c r="H28" s="271"/>
      <c r="I28" s="271"/>
      <c r="J28" s="271"/>
      <c r="K28" s="271"/>
      <c r="L28" s="271"/>
      <c r="M28" s="271"/>
      <c r="N28" s="272"/>
      <c r="O28" s="272"/>
      <c r="P28" s="272"/>
      <c r="Q28" s="272"/>
      <c r="R28" s="273"/>
      <c r="S28" s="68" t="str">
        <f>IF(COUNTA(N29:O31)=0,"",IF(COUNTIF(N29:O31,"No")&gt;=1,"NO",IF(COUNTIF(N29:O31,"SUBMITTED WITH OPEN DEFECTS")&gt;=1,"SUBMITTED WITH OPEN DEFECTS",IF(COUNTIF(N29:O31,"Yes")&gt;=1,"YES","NA"))))</f>
        <v/>
      </c>
      <c r="T28" s="18">
        <v>17</v>
      </c>
      <c r="U28" s="19"/>
      <c r="V28" s="19"/>
      <c r="W28" s="19"/>
      <c r="X28" s="19"/>
      <c r="Y28" s="19"/>
      <c r="Z28" s="19"/>
      <c r="AA28" s="19"/>
      <c r="AB28" s="19"/>
      <c r="AC28" s="19"/>
      <c r="AD28" s="19"/>
      <c r="AE28" s="19"/>
      <c r="AF28" s="19"/>
      <c r="AG28" s="19"/>
      <c r="AH28" s="19"/>
      <c r="AI28" s="19"/>
      <c r="AJ28" s="19"/>
      <c r="AK28" s="19"/>
    </row>
    <row r="29" spans="3:37" ht="39" customHeight="1" x14ac:dyDescent="0.35">
      <c r="C29" s="21" t="s">
        <v>191</v>
      </c>
      <c r="D29" s="236" t="s">
        <v>194</v>
      </c>
      <c r="E29" s="237"/>
      <c r="F29" s="237"/>
      <c r="G29" s="237"/>
      <c r="H29" s="237"/>
      <c r="I29" s="237"/>
      <c r="J29" s="237"/>
      <c r="K29" s="237"/>
      <c r="L29" s="237"/>
      <c r="M29" s="238"/>
      <c r="N29" s="104"/>
      <c r="O29" s="105"/>
      <c r="P29" s="239"/>
      <c r="Q29" s="240"/>
      <c r="R29" s="241"/>
      <c r="S29" s="7"/>
      <c r="U29" s="19"/>
      <c r="V29" s="19"/>
      <c r="W29" s="19"/>
      <c r="X29" s="19"/>
      <c r="Y29" s="19"/>
      <c r="Z29" s="19">
        <f>N29</f>
        <v>0</v>
      </c>
      <c r="AA29" s="19"/>
      <c r="AB29" s="19"/>
      <c r="AC29" s="19"/>
      <c r="AD29" s="19"/>
      <c r="AE29" s="19"/>
      <c r="AF29" s="19"/>
      <c r="AG29" s="19"/>
      <c r="AH29" s="19"/>
      <c r="AI29" s="19"/>
      <c r="AJ29" s="19"/>
      <c r="AK29" s="19"/>
    </row>
    <row r="30" spans="3:37" ht="53.5" customHeight="1" x14ac:dyDescent="0.35">
      <c r="C30" s="21" t="s">
        <v>192</v>
      </c>
      <c r="D30" s="171" t="s">
        <v>195</v>
      </c>
      <c r="E30" s="103"/>
      <c r="F30" s="103"/>
      <c r="G30" s="103"/>
      <c r="H30" s="103"/>
      <c r="I30" s="103"/>
      <c r="J30" s="103"/>
      <c r="K30" s="103"/>
      <c r="L30" s="103"/>
      <c r="M30" s="172"/>
      <c r="N30" s="104"/>
      <c r="O30" s="105"/>
      <c r="P30" s="187"/>
      <c r="Q30" s="187"/>
      <c r="R30" s="187"/>
      <c r="S30" s="7"/>
      <c r="U30" s="19"/>
      <c r="V30" s="19"/>
      <c r="W30" s="19"/>
      <c r="X30" s="19"/>
      <c r="Y30" s="19"/>
      <c r="Z30" s="19">
        <f>N30</f>
        <v>0</v>
      </c>
      <c r="AA30" s="19"/>
      <c r="AB30" s="19"/>
      <c r="AC30" s="19"/>
      <c r="AD30" s="19"/>
      <c r="AE30" s="19"/>
      <c r="AF30" s="19"/>
      <c r="AG30" s="19"/>
      <c r="AH30" s="19"/>
      <c r="AI30" s="19"/>
      <c r="AJ30" s="19"/>
      <c r="AK30" s="19"/>
    </row>
    <row r="31" spans="3:37" ht="44.5" customHeight="1" x14ac:dyDescent="0.35">
      <c r="C31" s="21" t="s">
        <v>193</v>
      </c>
      <c r="D31" s="236" t="s">
        <v>196</v>
      </c>
      <c r="E31" s="237"/>
      <c r="F31" s="237"/>
      <c r="G31" s="237"/>
      <c r="H31" s="237"/>
      <c r="I31" s="237"/>
      <c r="J31" s="237"/>
      <c r="K31" s="237"/>
      <c r="L31" s="237"/>
      <c r="M31" s="238"/>
      <c r="N31" s="104"/>
      <c r="O31" s="105"/>
      <c r="P31" s="187"/>
      <c r="Q31" s="187"/>
      <c r="R31" s="187"/>
      <c r="S31" s="7"/>
      <c r="U31" s="19"/>
      <c r="V31" s="19"/>
      <c r="W31" s="19"/>
      <c r="X31" s="19"/>
      <c r="Y31" s="19"/>
      <c r="Z31" s="19">
        <f>N31</f>
        <v>0</v>
      </c>
      <c r="AA31" s="19"/>
      <c r="AB31" s="19"/>
      <c r="AC31" s="19"/>
      <c r="AD31" s="19"/>
      <c r="AE31" s="19"/>
      <c r="AF31" s="19"/>
      <c r="AG31" s="19"/>
      <c r="AH31" s="19"/>
      <c r="AI31" s="19"/>
      <c r="AJ31" s="19"/>
      <c r="AK31" s="19"/>
    </row>
    <row r="32" spans="3:37" ht="37" customHeight="1" x14ac:dyDescent="0.35">
      <c r="C32" s="21">
        <v>2</v>
      </c>
      <c r="D32" s="93" t="s">
        <v>197</v>
      </c>
      <c r="E32" s="94"/>
      <c r="F32" s="94"/>
      <c r="G32" s="94"/>
      <c r="H32" s="94"/>
      <c r="I32" s="94"/>
      <c r="J32" s="94"/>
      <c r="K32" s="94"/>
      <c r="L32" s="94"/>
      <c r="M32" s="94"/>
      <c r="N32" s="95"/>
      <c r="O32" s="95"/>
      <c r="P32" s="95"/>
      <c r="Q32" s="95"/>
      <c r="R32" s="100"/>
      <c r="S32" s="68" t="str">
        <f>IF(N33="","",N33)</f>
        <v>YES</v>
      </c>
      <c r="U32" s="19"/>
      <c r="V32" s="19"/>
      <c r="W32" s="19"/>
      <c r="X32" s="19"/>
      <c r="Y32" s="19"/>
      <c r="Z32" s="19" t="str">
        <f>N33</f>
        <v>YES</v>
      </c>
      <c r="AA32" s="19"/>
      <c r="AB32" s="19"/>
      <c r="AC32" s="19"/>
      <c r="AD32" s="19"/>
      <c r="AE32" s="19"/>
      <c r="AF32" s="19"/>
      <c r="AG32" s="19"/>
      <c r="AH32" s="19"/>
      <c r="AI32" s="19"/>
      <c r="AJ32" s="19"/>
      <c r="AK32" s="19"/>
    </row>
    <row r="33" spans="3:37" ht="55" customHeight="1" x14ac:dyDescent="0.35">
      <c r="C33" s="21" t="s">
        <v>198</v>
      </c>
      <c r="D33" s="264" t="s">
        <v>523</v>
      </c>
      <c r="E33" s="265"/>
      <c r="F33" s="265"/>
      <c r="G33" s="265"/>
      <c r="H33" s="265"/>
      <c r="I33" s="265"/>
      <c r="J33" s="265"/>
      <c r="K33" s="265"/>
      <c r="L33" s="265"/>
      <c r="M33" s="266"/>
      <c r="N33" s="104" t="s">
        <v>11</v>
      </c>
      <c r="O33" s="105"/>
      <c r="P33" s="187"/>
      <c r="Q33" s="187"/>
      <c r="R33" s="187"/>
      <c r="S33" s="7"/>
      <c r="U33" s="19"/>
      <c r="V33" s="19"/>
      <c r="W33" s="19"/>
      <c r="X33" s="19"/>
      <c r="Y33" s="19"/>
      <c r="Z33" s="19" t="str">
        <f>N35</f>
        <v>YES</v>
      </c>
      <c r="AA33" s="19"/>
      <c r="AB33" s="19"/>
      <c r="AC33" s="19"/>
      <c r="AD33" s="19"/>
      <c r="AE33" s="19"/>
      <c r="AF33" s="19"/>
      <c r="AG33" s="19"/>
      <c r="AH33" s="19"/>
      <c r="AI33" s="19"/>
      <c r="AJ33" s="19"/>
      <c r="AK33" s="19"/>
    </row>
    <row r="34" spans="3:37" ht="32" customHeight="1" x14ac:dyDescent="0.35">
      <c r="C34" s="21">
        <v>3</v>
      </c>
      <c r="D34" s="93" t="s">
        <v>410</v>
      </c>
      <c r="E34" s="94"/>
      <c r="F34" s="94"/>
      <c r="G34" s="94"/>
      <c r="H34" s="94"/>
      <c r="I34" s="94"/>
      <c r="J34" s="94"/>
      <c r="K34" s="94"/>
      <c r="L34" s="94"/>
      <c r="M34" s="94"/>
      <c r="N34" s="95"/>
      <c r="O34" s="95"/>
      <c r="P34" s="95"/>
      <c r="Q34" s="95"/>
      <c r="R34" s="100"/>
      <c r="S34" s="68" t="str">
        <f>IF(COUNTA(N35:O36)=0,"",IF(COUNTIF(N35:O36,"No")&gt;=1,"NO",IF(COUNTIF(N35:O36,"SUBMITTED WITH OPEN DEFECTS")&gt;=1,"SUBMITTED WITH OPEN DEFECTS",IF(COUNTIF(N35:O36,"Yes")&gt;=1,"YES","NA"))))</f>
        <v>YES</v>
      </c>
      <c r="U34" s="19"/>
      <c r="V34" s="19"/>
      <c r="W34" s="19"/>
      <c r="X34" s="19"/>
      <c r="Y34" s="19"/>
      <c r="Z34" s="19" t="str">
        <f>N36</f>
        <v>YES</v>
      </c>
      <c r="AA34" s="19"/>
      <c r="AB34" s="19"/>
      <c r="AC34" s="19"/>
      <c r="AD34" s="19"/>
      <c r="AE34" s="19"/>
      <c r="AF34" s="19"/>
      <c r="AG34" s="19"/>
      <c r="AH34" s="19"/>
      <c r="AI34" s="19"/>
      <c r="AJ34" s="19"/>
      <c r="AK34" s="19"/>
    </row>
    <row r="35" spans="3:37" ht="41" customHeight="1" x14ac:dyDescent="0.35">
      <c r="C35" s="21" t="s">
        <v>200</v>
      </c>
      <c r="D35" s="171" t="s">
        <v>245</v>
      </c>
      <c r="E35" s="103"/>
      <c r="F35" s="103"/>
      <c r="G35" s="103"/>
      <c r="H35" s="103"/>
      <c r="I35" s="103"/>
      <c r="J35" s="103"/>
      <c r="K35" s="103"/>
      <c r="L35" s="103"/>
      <c r="M35" s="172"/>
      <c r="N35" s="104" t="s">
        <v>11</v>
      </c>
      <c r="O35" s="105"/>
      <c r="P35" s="187"/>
      <c r="Q35" s="187"/>
      <c r="R35" s="187"/>
      <c r="S35" s="36"/>
      <c r="U35" s="19"/>
      <c r="V35" s="19"/>
      <c r="W35" s="19"/>
      <c r="X35" s="19"/>
      <c r="Y35" s="19"/>
      <c r="Z35" s="19" t="str">
        <f>N38</f>
        <v>YES</v>
      </c>
      <c r="AA35" s="19"/>
      <c r="AB35" s="19"/>
      <c r="AC35" s="19"/>
      <c r="AD35" s="19"/>
      <c r="AE35" s="19"/>
      <c r="AF35" s="19"/>
      <c r="AG35" s="19"/>
      <c r="AH35" s="19"/>
      <c r="AI35" s="19"/>
      <c r="AJ35" s="19"/>
      <c r="AK35" s="19"/>
    </row>
    <row r="36" spans="3:37" ht="50" customHeight="1" x14ac:dyDescent="0.35">
      <c r="C36" s="21" t="s">
        <v>224</v>
      </c>
      <c r="D36" s="171" t="s">
        <v>218</v>
      </c>
      <c r="E36" s="103"/>
      <c r="F36" s="103"/>
      <c r="G36" s="103"/>
      <c r="H36" s="103"/>
      <c r="I36" s="103"/>
      <c r="J36" s="103"/>
      <c r="K36" s="103"/>
      <c r="L36" s="103"/>
      <c r="M36" s="172"/>
      <c r="N36" s="104" t="s">
        <v>11</v>
      </c>
      <c r="O36" s="105"/>
      <c r="P36" s="187"/>
      <c r="Q36" s="187"/>
      <c r="R36" s="187"/>
      <c r="S36" s="38"/>
      <c r="U36" s="19"/>
      <c r="V36" s="19"/>
      <c r="W36" s="19"/>
      <c r="X36" s="19"/>
      <c r="Y36" s="19"/>
      <c r="Z36" s="19" t="str">
        <f>N40</f>
        <v>YES</v>
      </c>
      <c r="AA36" s="19"/>
      <c r="AB36" s="19"/>
      <c r="AC36" s="19"/>
      <c r="AD36" s="19"/>
      <c r="AE36" s="19"/>
      <c r="AF36" s="19"/>
      <c r="AG36" s="19"/>
      <c r="AH36" s="19"/>
      <c r="AI36" s="19"/>
      <c r="AJ36" s="19"/>
      <c r="AK36" s="19"/>
    </row>
    <row r="37" spans="3:37" ht="44.5" customHeight="1" x14ac:dyDescent="0.35">
      <c r="C37" s="21">
        <v>4</v>
      </c>
      <c r="D37" s="93" t="s">
        <v>219</v>
      </c>
      <c r="E37" s="94"/>
      <c r="F37" s="94"/>
      <c r="G37" s="94"/>
      <c r="H37" s="94"/>
      <c r="I37" s="94"/>
      <c r="J37" s="94"/>
      <c r="K37" s="94"/>
      <c r="L37" s="94"/>
      <c r="M37" s="94"/>
      <c r="N37" s="95"/>
      <c r="O37" s="95"/>
      <c r="P37" s="95"/>
      <c r="Q37" s="95"/>
      <c r="R37" s="100"/>
      <c r="S37" s="68" t="str">
        <f>IF(N38="","",N38)</f>
        <v>YES</v>
      </c>
      <c r="U37" s="19"/>
      <c r="V37" s="19"/>
      <c r="W37" s="19"/>
      <c r="X37" s="19"/>
      <c r="Y37" s="19"/>
      <c r="Z37" s="19" t="str">
        <f>N41</f>
        <v>YES</v>
      </c>
      <c r="AA37" s="19"/>
      <c r="AB37" s="19"/>
      <c r="AC37" s="19"/>
      <c r="AD37" s="19"/>
      <c r="AE37" s="19"/>
      <c r="AF37" s="19"/>
      <c r="AG37" s="19"/>
      <c r="AH37" s="19"/>
      <c r="AI37" s="19"/>
      <c r="AJ37" s="19"/>
      <c r="AK37" s="19"/>
    </row>
    <row r="38" spans="3:37" ht="62.5" customHeight="1" x14ac:dyDescent="0.35">
      <c r="C38" s="21" t="s">
        <v>202</v>
      </c>
      <c r="D38" s="171" t="s">
        <v>515</v>
      </c>
      <c r="E38" s="103"/>
      <c r="F38" s="103"/>
      <c r="G38" s="103"/>
      <c r="H38" s="103"/>
      <c r="I38" s="103"/>
      <c r="J38" s="103"/>
      <c r="K38" s="103"/>
      <c r="L38" s="103"/>
      <c r="M38" s="103"/>
      <c r="N38" s="104" t="s">
        <v>11</v>
      </c>
      <c r="O38" s="105"/>
      <c r="P38" s="187"/>
      <c r="Q38" s="187"/>
      <c r="R38" s="187"/>
      <c r="S38" s="10"/>
      <c r="U38" s="19"/>
      <c r="V38" s="19"/>
      <c r="W38" s="19"/>
      <c r="X38" s="19"/>
      <c r="Y38" s="19"/>
      <c r="Z38" s="19" t="str">
        <f>N42</f>
        <v>YES</v>
      </c>
      <c r="AA38" s="19"/>
      <c r="AB38" s="19"/>
      <c r="AC38" s="19"/>
      <c r="AD38" s="19"/>
      <c r="AE38" s="19"/>
      <c r="AF38" s="19"/>
      <c r="AG38" s="19"/>
      <c r="AH38" s="19"/>
      <c r="AI38" s="19"/>
      <c r="AJ38" s="19"/>
      <c r="AK38" s="19"/>
    </row>
    <row r="39" spans="3:37" ht="44.5" customHeight="1" x14ac:dyDescent="0.35">
      <c r="C39" s="21">
        <v>5</v>
      </c>
      <c r="D39" s="93" t="s">
        <v>395</v>
      </c>
      <c r="E39" s="94"/>
      <c r="F39" s="94"/>
      <c r="G39" s="94"/>
      <c r="H39" s="94"/>
      <c r="I39" s="94"/>
      <c r="J39" s="94"/>
      <c r="K39" s="94"/>
      <c r="L39" s="94"/>
      <c r="M39" s="94"/>
      <c r="N39" s="95"/>
      <c r="O39" s="95"/>
      <c r="P39" s="95"/>
      <c r="Q39" s="95"/>
      <c r="R39" s="100"/>
      <c r="S39" s="68" t="str">
        <f>IF(COUNTA(N40:O42)=0,"",IF(COUNTIF(N40:O42,"No")&gt;=1,"NO",IF(COUNTIF(N40:O42,"SUBMITTED WITH OPEN DEFECTS")&gt;=1,"SUBMITTED WITH OPEN DEFECTS",IF(COUNTIF(N40:O42,"Yes")&gt;=1,"YES","NA"))))</f>
        <v>YES</v>
      </c>
      <c r="U39" s="19"/>
      <c r="V39" s="19"/>
      <c r="W39" s="19"/>
      <c r="X39" s="19"/>
      <c r="Y39" s="19"/>
      <c r="Z39" s="19" t="str">
        <f>N44</f>
        <v>YES</v>
      </c>
      <c r="AA39" s="19"/>
      <c r="AB39" s="19"/>
      <c r="AC39" s="19"/>
      <c r="AD39" s="19"/>
      <c r="AE39" s="19"/>
      <c r="AF39" s="19"/>
      <c r="AG39" s="19"/>
      <c r="AH39" s="19"/>
      <c r="AI39" s="19"/>
      <c r="AJ39" s="19"/>
      <c r="AK39" s="19"/>
    </row>
    <row r="40" spans="3:37" ht="67.5" customHeight="1" x14ac:dyDescent="0.35">
      <c r="C40" s="21" t="s">
        <v>204</v>
      </c>
      <c r="D40" s="171" t="s">
        <v>516</v>
      </c>
      <c r="E40" s="103"/>
      <c r="F40" s="103"/>
      <c r="G40" s="103"/>
      <c r="H40" s="103"/>
      <c r="I40" s="103"/>
      <c r="J40" s="103"/>
      <c r="K40" s="103"/>
      <c r="L40" s="103"/>
      <c r="M40" s="103"/>
      <c r="N40" s="104" t="s">
        <v>11</v>
      </c>
      <c r="O40" s="105"/>
      <c r="P40" s="187"/>
      <c r="Q40" s="187"/>
      <c r="R40" s="187"/>
      <c r="S40" s="36"/>
      <c r="U40" s="19"/>
      <c r="V40" s="19"/>
      <c r="W40" s="19"/>
      <c r="X40" s="19"/>
      <c r="Y40" s="19"/>
      <c r="Z40" s="19" t="str">
        <f>N45</f>
        <v>YES</v>
      </c>
      <c r="AA40" s="19"/>
      <c r="AB40" s="19"/>
      <c r="AC40" s="19"/>
      <c r="AD40" s="19"/>
      <c r="AE40" s="19"/>
      <c r="AF40" s="19"/>
      <c r="AG40" s="19"/>
      <c r="AH40" s="19"/>
      <c r="AI40" s="19"/>
      <c r="AJ40" s="19"/>
      <c r="AK40" s="19"/>
    </row>
    <row r="41" spans="3:37" ht="48.5" customHeight="1" x14ac:dyDescent="0.35">
      <c r="C41" s="21" t="s">
        <v>225</v>
      </c>
      <c r="D41" s="171" t="s">
        <v>526</v>
      </c>
      <c r="E41" s="103"/>
      <c r="F41" s="103"/>
      <c r="G41" s="103"/>
      <c r="H41" s="103"/>
      <c r="I41" s="103"/>
      <c r="J41" s="103"/>
      <c r="K41" s="103"/>
      <c r="L41" s="103"/>
      <c r="M41" s="103"/>
      <c r="N41" s="104" t="s">
        <v>11</v>
      </c>
      <c r="O41" s="105"/>
      <c r="P41" s="187"/>
      <c r="Q41" s="187"/>
      <c r="R41" s="187"/>
      <c r="S41" s="37"/>
      <c r="U41" s="19"/>
      <c r="V41" s="19"/>
      <c r="W41" s="19"/>
      <c r="X41" s="19"/>
      <c r="Y41" s="19"/>
      <c r="Z41" s="19" t="str">
        <f>N46</f>
        <v>YES</v>
      </c>
      <c r="AA41" s="19"/>
      <c r="AB41" s="19"/>
      <c r="AC41" s="19"/>
      <c r="AD41" s="19"/>
      <c r="AE41" s="19"/>
      <c r="AF41" s="19"/>
      <c r="AG41" s="19"/>
      <c r="AH41" s="19"/>
      <c r="AI41" s="19"/>
      <c r="AJ41" s="19"/>
      <c r="AK41" s="19"/>
    </row>
    <row r="42" spans="3:37" ht="31" customHeight="1" x14ac:dyDescent="0.35">
      <c r="C42" s="21" t="s">
        <v>226</v>
      </c>
      <c r="D42" s="171" t="s">
        <v>244</v>
      </c>
      <c r="E42" s="103"/>
      <c r="F42" s="103"/>
      <c r="G42" s="103"/>
      <c r="H42" s="103"/>
      <c r="I42" s="103"/>
      <c r="J42" s="103"/>
      <c r="K42" s="103"/>
      <c r="L42" s="103"/>
      <c r="M42" s="103"/>
      <c r="N42" s="104" t="s">
        <v>11</v>
      </c>
      <c r="O42" s="105"/>
      <c r="P42" s="187"/>
      <c r="Q42" s="187"/>
      <c r="R42" s="187"/>
      <c r="S42" s="17"/>
      <c r="U42" s="19"/>
      <c r="V42" s="19"/>
      <c r="W42" s="19"/>
      <c r="X42" s="19"/>
      <c r="Y42" s="19"/>
      <c r="Z42" s="19" t="str">
        <f>N48</f>
        <v>NA</v>
      </c>
      <c r="AA42" s="19"/>
      <c r="AB42" s="19"/>
      <c r="AC42" s="19"/>
      <c r="AD42" s="19"/>
      <c r="AE42" s="19"/>
      <c r="AF42" s="19"/>
      <c r="AG42" s="19"/>
      <c r="AH42" s="19"/>
      <c r="AI42" s="19"/>
      <c r="AJ42" s="19"/>
      <c r="AK42" s="19"/>
    </row>
    <row r="43" spans="3:37" ht="44.5" customHeight="1" x14ac:dyDescent="0.35">
      <c r="C43" s="21">
        <v>6</v>
      </c>
      <c r="D43" s="93" t="s">
        <v>394</v>
      </c>
      <c r="E43" s="94"/>
      <c r="F43" s="94"/>
      <c r="G43" s="94"/>
      <c r="H43" s="94"/>
      <c r="I43" s="94"/>
      <c r="J43" s="94"/>
      <c r="K43" s="94"/>
      <c r="L43" s="94"/>
      <c r="M43" s="94"/>
      <c r="N43" s="95"/>
      <c r="O43" s="95"/>
      <c r="P43" s="95"/>
      <c r="Q43" s="95"/>
      <c r="R43" s="100"/>
      <c r="S43" s="68" t="str">
        <f>IF(COUNTA(N44:O46)=0,"",IF(COUNTIF(N44:O46,"No")&gt;=1,"NO",IF(COUNTIF(N44:O46,"SUBMITTED WITH OPEN DEFECTS")&gt;=1,"SUBMITTED WITH OPEN DEFECTS",IF(COUNTIF(N44:O46,"Yes")&gt;=1,"YES","NA"))))</f>
        <v>YES</v>
      </c>
      <c r="U43" s="19"/>
      <c r="V43" s="19"/>
      <c r="W43" s="19"/>
      <c r="X43" s="19"/>
      <c r="Y43" s="19"/>
      <c r="Z43" s="19" t="str">
        <f>N49</f>
        <v>NA</v>
      </c>
      <c r="AA43" s="19"/>
      <c r="AB43" s="19"/>
      <c r="AC43" s="19"/>
      <c r="AD43" s="19"/>
      <c r="AE43" s="19"/>
      <c r="AF43" s="19"/>
      <c r="AG43" s="19"/>
      <c r="AH43" s="19"/>
      <c r="AI43" s="19"/>
      <c r="AJ43" s="19"/>
      <c r="AK43" s="19"/>
    </row>
    <row r="44" spans="3:37" ht="125" customHeight="1" x14ac:dyDescent="0.35">
      <c r="C44" s="21" t="s">
        <v>205</v>
      </c>
      <c r="D44" s="189" t="s">
        <v>246</v>
      </c>
      <c r="E44" s="190"/>
      <c r="F44" s="190"/>
      <c r="G44" s="190"/>
      <c r="H44" s="190"/>
      <c r="I44" s="190"/>
      <c r="J44" s="190"/>
      <c r="K44" s="190"/>
      <c r="L44" s="190"/>
      <c r="M44" s="190"/>
      <c r="N44" s="104" t="s">
        <v>11</v>
      </c>
      <c r="O44" s="105"/>
      <c r="P44" s="187"/>
      <c r="Q44" s="187"/>
      <c r="R44" s="187"/>
      <c r="S44" s="36"/>
      <c r="U44" s="19"/>
      <c r="V44" s="19"/>
      <c r="W44" s="19"/>
      <c r="X44" s="19"/>
      <c r="Y44" s="19"/>
      <c r="Z44" s="19" t="str">
        <f>N50</f>
        <v>NA</v>
      </c>
      <c r="AA44" s="19"/>
      <c r="AB44" s="19"/>
      <c r="AC44" s="19"/>
      <c r="AD44" s="19"/>
      <c r="AE44" s="19"/>
      <c r="AF44" s="19"/>
      <c r="AG44" s="19"/>
      <c r="AH44" s="19"/>
      <c r="AI44" s="19"/>
      <c r="AJ44" s="19"/>
      <c r="AK44" s="19"/>
    </row>
    <row r="45" spans="3:37" ht="40" customHeight="1" x14ac:dyDescent="0.35">
      <c r="C45" s="21" t="s">
        <v>207</v>
      </c>
      <c r="D45" s="189" t="s">
        <v>220</v>
      </c>
      <c r="E45" s="190"/>
      <c r="F45" s="190"/>
      <c r="G45" s="190"/>
      <c r="H45" s="190"/>
      <c r="I45" s="190"/>
      <c r="J45" s="190"/>
      <c r="K45" s="190"/>
      <c r="L45" s="190"/>
      <c r="M45" s="190"/>
      <c r="N45" s="104" t="s">
        <v>11</v>
      </c>
      <c r="O45" s="105"/>
      <c r="P45" s="187"/>
      <c r="Q45" s="187"/>
      <c r="R45" s="187"/>
      <c r="S45" s="37"/>
      <c r="U45" s="19"/>
      <c r="V45" s="19"/>
      <c r="W45" s="19"/>
      <c r="X45" s="19"/>
      <c r="Y45" s="19"/>
      <c r="Z45" s="19" t="str">
        <f>N51</f>
        <v>NA</v>
      </c>
      <c r="AA45" s="19"/>
      <c r="AB45" s="19"/>
      <c r="AC45" s="19"/>
      <c r="AD45" s="19"/>
      <c r="AE45" s="19"/>
      <c r="AF45" s="19"/>
      <c r="AG45" s="19"/>
      <c r="AH45" s="19"/>
      <c r="AI45" s="19"/>
      <c r="AJ45" s="19"/>
      <c r="AK45" s="19"/>
    </row>
    <row r="46" spans="3:37" ht="30" customHeight="1" x14ac:dyDescent="0.35">
      <c r="C46" s="21" t="s">
        <v>209</v>
      </c>
      <c r="D46" s="171" t="s">
        <v>221</v>
      </c>
      <c r="E46" s="103"/>
      <c r="F46" s="103"/>
      <c r="G46" s="103"/>
      <c r="H46" s="103"/>
      <c r="I46" s="103"/>
      <c r="J46" s="103"/>
      <c r="K46" s="103"/>
      <c r="L46" s="103"/>
      <c r="M46" s="103"/>
      <c r="N46" s="104" t="s">
        <v>11</v>
      </c>
      <c r="O46" s="105"/>
      <c r="P46" s="187"/>
      <c r="Q46" s="187"/>
      <c r="R46" s="187"/>
      <c r="S46" s="17"/>
      <c r="U46" s="19"/>
      <c r="V46" s="19"/>
      <c r="W46" s="19"/>
      <c r="X46" s="19"/>
      <c r="Y46" s="19"/>
      <c r="Z46" s="73">
        <f>E56</f>
        <v>45539</v>
      </c>
      <c r="AA46" s="19"/>
      <c r="AB46" s="19"/>
      <c r="AC46" s="19"/>
      <c r="AD46" s="19"/>
      <c r="AE46" s="19"/>
      <c r="AF46" s="19"/>
      <c r="AG46" s="19"/>
      <c r="AH46" s="19"/>
      <c r="AI46" s="19"/>
      <c r="AJ46" s="19"/>
      <c r="AK46" s="19"/>
    </row>
    <row r="47" spans="3:37" ht="47.5" customHeight="1" x14ac:dyDescent="0.35">
      <c r="C47" s="21">
        <v>7</v>
      </c>
      <c r="D47" s="98" t="s">
        <v>393</v>
      </c>
      <c r="E47" s="99"/>
      <c r="F47" s="99"/>
      <c r="G47" s="99"/>
      <c r="H47" s="99"/>
      <c r="I47" s="99"/>
      <c r="J47" s="99"/>
      <c r="K47" s="99"/>
      <c r="L47" s="99"/>
      <c r="M47" s="99"/>
      <c r="N47" s="95"/>
      <c r="O47" s="95"/>
      <c r="P47" s="95"/>
      <c r="Q47" s="95"/>
      <c r="R47" s="100"/>
      <c r="S47" s="68" t="str">
        <f>IF(COUNTA(N48:O51)=0,"",IF(COUNTIF(N48:O51,"No")&gt;=1,"NO",IF(COUNTIF(N48:O51,"SUBMITTED WITH OPEN DEFECTS")&gt;=1,"SUBMITTED WITH OPEN DEFECTS",IF(COUNTIF(N48:O51,"Yes")&gt;=1,"YES","NA"))))</f>
        <v>NA</v>
      </c>
      <c r="U47" s="19"/>
      <c r="V47" s="19"/>
      <c r="W47" s="19"/>
      <c r="X47" s="19"/>
      <c r="Y47" s="19"/>
      <c r="Z47" s="19"/>
      <c r="AA47" s="19"/>
      <c r="AB47" s="19"/>
      <c r="AC47" s="19"/>
      <c r="AD47" s="19"/>
      <c r="AE47" s="19"/>
      <c r="AF47" s="19"/>
      <c r="AG47" s="19"/>
      <c r="AH47" s="19"/>
      <c r="AI47" s="19"/>
      <c r="AJ47" s="19"/>
      <c r="AK47" s="19"/>
    </row>
    <row r="48" spans="3:37" ht="110.5" customHeight="1" x14ac:dyDescent="0.35">
      <c r="C48" s="21" t="s">
        <v>212</v>
      </c>
      <c r="D48" s="171" t="s">
        <v>509</v>
      </c>
      <c r="E48" s="103"/>
      <c r="F48" s="103"/>
      <c r="G48" s="103"/>
      <c r="H48" s="103"/>
      <c r="I48" s="103"/>
      <c r="J48" s="103"/>
      <c r="K48" s="103"/>
      <c r="L48" s="103"/>
      <c r="M48" s="103"/>
      <c r="N48" s="104" t="s">
        <v>23</v>
      </c>
      <c r="O48" s="105"/>
      <c r="P48" s="187"/>
      <c r="Q48" s="187"/>
      <c r="R48" s="187"/>
      <c r="S48" s="36"/>
      <c r="U48" s="19"/>
      <c r="V48" s="19"/>
      <c r="W48" s="19"/>
      <c r="X48" s="19"/>
      <c r="Y48" s="19"/>
      <c r="AA48" s="19"/>
      <c r="AB48" s="19"/>
      <c r="AC48" s="19"/>
      <c r="AD48" s="19"/>
      <c r="AE48" s="19"/>
      <c r="AF48" s="19"/>
      <c r="AG48" s="19"/>
      <c r="AH48" s="19"/>
      <c r="AI48" s="19"/>
      <c r="AJ48" s="19"/>
      <c r="AK48" s="19"/>
    </row>
    <row r="49" spans="3:37" ht="36" customHeight="1" x14ac:dyDescent="0.35">
      <c r="C49" s="21" t="s">
        <v>227</v>
      </c>
      <c r="D49" s="171" t="s">
        <v>247</v>
      </c>
      <c r="E49" s="103"/>
      <c r="F49" s="103"/>
      <c r="G49" s="103"/>
      <c r="H49" s="103"/>
      <c r="I49" s="103"/>
      <c r="J49" s="103"/>
      <c r="K49" s="103"/>
      <c r="L49" s="103"/>
      <c r="M49" s="103"/>
      <c r="N49" s="104" t="s">
        <v>23</v>
      </c>
      <c r="O49" s="105"/>
      <c r="P49" s="187"/>
      <c r="Q49" s="187"/>
      <c r="R49" s="187"/>
      <c r="S49" s="37"/>
      <c r="U49" s="19"/>
      <c r="V49" s="19"/>
      <c r="W49" s="19"/>
      <c r="X49" s="19"/>
      <c r="Y49" s="19"/>
      <c r="AA49" s="19"/>
      <c r="AB49" s="19"/>
      <c r="AC49" s="19"/>
      <c r="AD49" s="19"/>
      <c r="AE49" s="19"/>
      <c r="AF49" s="19"/>
      <c r="AG49" s="19"/>
      <c r="AH49" s="19"/>
      <c r="AI49" s="19"/>
      <c r="AJ49" s="19"/>
      <c r="AK49" s="19"/>
    </row>
    <row r="50" spans="3:37" ht="40" customHeight="1" x14ac:dyDescent="0.35">
      <c r="C50" s="21" t="s">
        <v>228</v>
      </c>
      <c r="D50" s="171" t="s">
        <v>243</v>
      </c>
      <c r="E50" s="103"/>
      <c r="F50" s="103"/>
      <c r="G50" s="103"/>
      <c r="H50" s="103"/>
      <c r="I50" s="103"/>
      <c r="J50" s="103"/>
      <c r="K50" s="103"/>
      <c r="L50" s="103"/>
      <c r="M50" s="103"/>
      <c r="N50" s="104" t="s">
        <v>23</v>
      </c>
      <c r="O50" s="105"/>
      <c r="P50" s="187"/>
      <c r="Q50" s="187"/>
      <c r="R50" s="187"/>
      <c r="S50" s="37"/>
      <c r="U50" s="19"/>
      <c r="V50" s="19"/>
      <c r="W50" s="19"/>
      <c r="X50" s="19"/>
      <c r="Y50" s="19"/>
      <c r="AA50" s="19"/>
      <c r="AB50" s="19"/>
      <c r="AC50" s="19"/>
      <c r="AD50" s="19"/>
      <c r="AE50" s="19"/>
      <c r="AF50" s="19"/>
      <c r="AG50" s="19"/>
      <c r="AH50" s="19"/>
      <c r="AI50" s="19"/>
      <c r="AJ50" s="19"/>
      <c r="AK50" s="19"/>
    </row>
    <row r="51" spans="3:37" ht="39.5" customHeight="1" x14ac:dyDescent="0.35">
      <c r="C51" s="21" t="s">
        <v>229</v>
      </c>
      <c r="D51" s="171" t="s">
        <v>223</v>
      </c>
      <c r="E51" s="103"/>
      <c r="F51" s="103"/>
      <c r="G51" s="103"/>
      <c r="H51" s="103"/>
      <c r="I51" s="103"/>
      <c r="J51" s="103"/>
      <c r="K51" s="103"/>
      <c r="L51" s="103"/>
      <c r="M51" s="103"/>
      <c r="N51" s="104" t="s">
        <v>23</v>
      </c>
      <c r="O51" s="105"/>
      <c r="P51" s="187"/>
      <c r="Q51" s="187"/>
      <c r="R51" s="187"/>
      <c r="S51" s="37"/>
      <c r="U51" s="19"/>
      <c r="V51" s="19"/>
      <c r="W51" s="19"/>
      <c r="X51" s="19"/>
      <c r="Y51" s="19"/>
      <c r="AA51" s="19"/>
      <c r="AB51" s="19"/>
      <c r="AC51" s="19"/>
      <c r="AD51" s="19"/>
      <c r="AE51" s="19"/>
      <c r="AF51" s="19"/>
      <c r="AG51" s="19"/>
      <c r="AH51" s="19"/>
      <c r="AI51" s="19"/>
      <c r="AJ51" s="19"/>
      <c r="AK51" s="19"/>
    </row>
    <row r="52" spans="3:37" ht="36" hidden="1" customHeight="1" x14ac:dyDescent="0.35">
      <c r="C52" s="21">
        <v>8</v>
      </c>
      <c r="D52" s="171" t="s">
        <v>217</v>
      </c>
      <c r="E52" s="103"/>
      <c r="F52" s="103"/>
      <c r="G52" s="103"/>
      <c r="H52" s="103"/>
      <c r="I52" s="103"/>
      <c r="J52" s="103"/>
      <c r="K52" s="103"/>
      <c r="L52" s="103"/>
      <c r="M52" s="103"/>
      <c r="N52" s="104"/>
      <c r="O52" s="105"/>
      <c r="P52" s="115" t="s">
        <v>514</v>
      </c>
      <c r="Q52" s="115"/>
      <c r="R52" s="115"/>
      <c r="S52" s="17"/>
      <c r="U52" s="19"/>
      <c r="V52" s="19"/>
      <c r="W52" s="19"/>
      <c r="X52" s="19"/>
      <c r="Y52" s="19"/>
      <c r="AA52" s="19"/>
      <c r="AB52" s="19"/>
      <c r="AC52" s="19"/>
      <c r="AD52" s="19"/>
      <c r="AE52" s="19"/>
      <c r="AF52" s="19"/>
      <c r="AG52" s="19"/>
      <c r="AH52" s="19"/>
      <c r="AI52" s="19"/>
      <c r="AJ52" s="19"/>
      <c r="AK52" s="19"/>
    </row>
    <row r="53" spans="3:37" ht="44.5" customHeight="1" x14ac:dyDescent="0.35">
      <c r="C53" s="157" t="s">
        <v>230</v>
      </c>
      <c r="D53" s="158"/>
      <c r="E53" s="159"/>
      <c r="F53" s="188"/>
      <c r="G53" s="188"/>
      <c r="H53" s="188"/>
      <c r="I53" s="188"/>
      <c r="J53" s="188"/>
      <c r="K53" s="188"/>
      <c r="L53" s="188"/>
      <c r="M53" s="188"/>
      <c r="N53" s="188"/>
      <c r="O53" s="188"/>
      <c r="P53" s="188"/>
      <c r="Q53" s="188"/>
      <c r="R53" s="188"/>
      <c r="U53" s="19"/>
      <c r="V53" s="19"/>
      <c r="W53" s="19"/>
      <c r="X53" s="19"/>
      <c r="Y53" s="19"/>
      <c r="Z53" s="19"/>
      <c r="AA53" s="19"/>
      <c r="AB53" s="19"/>
      <c r="AC53" s="19"/>
      <c r="AD53" s="19"/>
      <c r="AE53" s="19"/>
      <c r="AF53" s="19"/>
      <c r="AG53" s="19"/>
      <c r="AH53" s="19"/>
      <c r="AI53" s="19"/>
      <c r="AJ53" s="19"/>
      <c r="AK53" s="19"/>
    </row>
    <row r="54" spans="3:37" ht="31" customHeight="1" x14ac:dyDescent="0.35">
      <c r="C54" s="120" t="s">
        <v>231</v>
      </c>
      <c r="D54" s="121"/>
      <c r="E54" s="121"/>
      <c r="F54" s="121"/>
      <c r="G54" s="121"/>
      <c r="H54" s="121"/>
      <c r="I54" s="121"/>
      <c r="J54" s="121"/>
      <c r="K54" s="121"/>
      <c r="L54" s="121"/>
      <c r="M54" s="121"/>
      <c r="N54" s="121"/>
      <c r="O54" s="121"/>
      <c r="P54" s="121"/>
      <c r="Q54" s="121"/>
      <c r="R54" s="121"/>
      <c r="T54"/>
      <c r="U54" s="19"/>
      <c r="V54" s="19"/>
      <c r="W54" s="19"/>
      <c r="X54" s="19"/>
      <c r="Y54" s="19"/>
      <c r="Z54" s="19"/>
      <c r="AA54" s="19"/>
      <c r="AB54" s="19"/>
      <c r="AC54" s="19"/>
      <c r="AD54" s="19"/>
      <c r="AE54" s="19"/>
      <c r="AF54" s="19"/>
      <c r="AG54" s="19"/>
      <c r="AH54" s="19"/>
      <c r="AI54" s="19"/>
      <c r="AJ54" s="19"/>
      <c r="AK54" s="19"/>
    </row>
    <row r="55" spans="3:37" ht="41.5" customHeight="1" x14ac:dyDescent="0.35">
      <c r="C55" s="154" t="s">
        <v>232</v>
      </c>
      <c r="D55" s="176"/>
      <c r="E55" s="75" t="s">
        <v>524</v>
      </c>
      <c r="F55" s="122" t="s">
        <v>233</v>
      </c>
      <c r="G55" s="122"/>
      <c r="H55" s="122" t="s">
        <v>234</v>
      </c>
      <c r="I55" s="122"/>
      <c r="J55" s="122" t="s">
        <v>235</v>
      </c>
      <c r="K55" s="122"/>
      <c r="L55" s="122" t="s">
        <v>236</v>
      </c>
      <c r="M55" s="122"/>
      <c r="N55" s="122"/>
      <c r="O55" s="122"/>
      <c r="P55" s="122" t="s">
        <v>237</v>
      </c>
      <c r="Q55" s="122"/>
      <c r="R55" s="122"/>
      <c r="T55"/>
      <c r="U55" s="19"/>
      <c r="V55" s="19"/>
      <c r="W55" s="19"/>
      <c r="X55" s="19"/>
      <c r="Y55" s="19"/>
      <c r="Z55" s="19"/>
      <c r="AA55" s="19"/>
      <c r="AB55" s="19"/>
      <c r="AC55" s="19"/>
      <c r="AD55" s="19"/>
      <c r="AE55" s="19"/>
      <c r="AF55" s="19"/>
      <c r="AG55" s="19"/>
      <c r="AH55" s="19"/>
      <c r="AI55" s="19"/>
      <c r="AJ55" s="19"/>
      <c r="AK55" s="19"/>
    </row>
    <row r="56" spans="3:37" ht="37.5" customHeight="1" x14ac:dyDescent="0.35">
      <c r="C56" s="154" t="s">
        <v>238</v>
      </c>
      <c r="D56" s="155"/>
      <c r="E56" s="76">
        <v>45539</v>
      </c>
      <c r="F56" s="137" t="s">
        <v>12</v>
      </c>
      <c r="G56" s="137"/>
      <c r="H56" s="138">
        <v>45539</v>
      </c>
      <c r="I56" s="139"/>
      <c r="J56" s="140" t="str">
        <f>IF(COUNTA(Z59:Z72)=0,"",IF(COUNTIF(Z29:Z45,"No")&gt;=1,"Defects Raised",IF(COUNTIF(Z29:Z45,"Yes")&gt;=1,"No Defects","")))</f>
        <v>No Defects</v>
      </c>
      <c r="K56" s="140"/>
      <c r="L56" s="139" t="s">
        <v>16</v>
      </c>
      <c r="M56" s="139"/>
      <c r="N56" s="139"/>
      <c r="O56" s="139"/>
      <c r="P56" s="141"/>
      <c r="Q56" s="141"/>
      <c r="R56" s="141"/>
      <c r="T56"/>
      <c r="U56" s="19"/>
      <c r="V56" s="19"/>
      <c r="W56" s="19"/>
      <c r="X56" s="19"/>
      <c r="Y56" s="19"/>
      <c r="Z56" s="19"/>
      <c r="AA56" s="19"/>
      <c r="AB56" s="19"/>
      <c r="AC56" s="19"/>
      <c r="AD56" s="19"/>
      <c r="AE56" s="19"/>
      <c r="AF56" s="19"/>
      <c r="AG56" s="19"/>
      <c r="AH56" s="19"/>
      <c r="AI56" s="19"/>
      <c r="AJ56" s="19"/>
      <c r="AK56" s="19"/>
    </row>
    <row r="57" spans="3:37" ht="44.5" customHeight="1" x14ac:dyDescent="0.35">
      <c r="C57" s="180" t="s">
        <v>239</v>
      </c>
      <c r="D57" s="181"/>
      <c r="E57" s="181"/>
      <c r="F57" s="181"/>
      <c r="G57" s="181"/>
      <c r="H57" s="181"/>
      <c r="I57" s="181"/>
      <c r="J57" s="181"/>
      <c r="K57" s="181"/>
      <c r="L57" s="181"/>
      <c r="M57" s="181"/>
      <c r="N57" s="181"/>
      <c r="O57" s="181"/>
      <c r="P57" s="181"/>
      <c r="Q57" s="181"/>
      <c r="R57" s="182"/>
      <c r="S57" s="11"/>
      <c r="U57" s="19"/>
      <c r="V57" s="19"/>
      <c r="W57" s="19"/>
      <c r="X57" s="19"/>
      <c r="Y57" s="19"/>
      <c r="Z57" s="19"/>
      <c r="AA57" s="19"/>
      <c r="AB57" s="19"/>
      <c r="AC57" s="19"/>
      <c r="AD57" s="19"/>
      <c r="AE57" s="19"/>
      <c r="AF57" s="19"/>
      <c r="AG57" s="19"/>
      <c r="AH57" s="19"/>
      <c r="AI57" s="19"/>
      <c r="AJ57" s="19"/>
      <c r="AK57" s="19"/>
    </row>
    <row r="58" spans="3:37" ht="39" customHeight="1" x14ac:dyDescent="0.35">
      <c r="C58" s="21">
        <v>1</v>
      </c>
      <c r="D58" s="98" t="s">
        <v>249</v>
      </c>
      <c r="E58" s="99"/>
      <c r="F58" s="99"/>
      <c r="G58" s="99"/>
      <c r="H58" s="99"/>
      <c r="I58" s="99"/>
      <c r="J58" s="99"/>
      <c r="K58" s="99"/>
      <c r="L58" s="99"/>
      <c r="M58" s="99"/>
      <c r="N58" s="95"/>
      <c r="O58" s="95"/>
      <c r="P58" s="95"/>
      <c r="Q58" s="95"/>
      <c r="R58" s="100"/>
      <c r="S58" s="68" t="str">
        <f>IF(COUNTA(N59:O60)=0,"",IF(COUNTIF(N59:O60,"No")&gt;=1,"NO",IF(COUNTIF(N59:O60,"SUBMITTED WITH OPEN DEFECTS")&gt;=1,"SUBMITTED WITH OPEN DEFECTS",IF(COUNTIF(N59:O60,"Yes")&gt;=1,"YES","NA"))))</f>
        <v>YES</v>
      </c>
      <c r="T58" s="18">
        <v>13</v>
      </c>
      <c r="U58" s="19"/>
      <c r="V58" s="19"/>
      <c r="W58" s="19"/>
      <c r="X58" s="19"/>
      <c r="Y58" s="19"/>
      <c r="Z58" s="19"/>
      <c r="AA58" s="19"/>
      <c r="AB58" s="19"/>
      <c r="AC58" s="19"/>
      <c r="AD58" s="19"/>
      <c r="AE58" s="19"/>
      <c r="AF58" s="19"/>
      <c r="AG58" s="19"/>
      <c r="AH58" s="19"/>
      <c r="AI58" s="19"/>
      <c r="AJ58" s="19"/>
      <c r="AK58" s="19"/>
    </row>
    <row r="59" spans="3:37" ht="44.5" customHeight="1" x14ac:dyDescent="0.45">
      <c r="C59" s="21" t="s">
        <v>240</v>
      </c>
      <c r="D59" s="183" t="s">
        <v>241</v>
      </c>
      <c r="E59" s="183"/>
      <c r="F59" s="183"/>
      <c r="G59" s="183"/>
      <c r="H59" s="183"/>
      <c r="I59" s="183"/>
      <c r="J59" s="183"/>
      <c r="K59" s="183"/>
      <c r="L59" s="183"/>
      <c r="M59" s="183"/>
      <c r="N59" s="104" t="s">
        <v>11</v>
      </c>
      <c r="O59" s="105"/>
      <c r="P59" s="184"/>
      <c r="Q59" s="184"/>
      <c r="R59" s="185"/>
      <c r="S59" s="36"/>
      <c r="U59" s="19"/>
      <c r="V59" s="19"/>
      <c r="W59" s="19"/>
      <c r="X59" s="19"/>
      <c r="Y59" s="19"/>
      <c r="Z59" s="19" t="str">
        <f>N59</f>
        <v>YES</v>
      </c>
      <c r="AA59" s="19"/>
      <c r="AB59" s="19"/>
      <c r="AC59" s="19"/>
      <c r="AD59" s="19"/>
      <c r="AE59" s="19"/>
      <c r="AF59" s="19"/>
      <c r="AG59" s="19"/>
      <c r="AH59" s="19"/>
      <c r="AI59" s="19"/>
      <c r="AJ59" s="19"/>
      <c r="AK59" s="19"/>
    </row>
    <row r="60" spans="3:37" ht="49" customHeight="1" x14ac:dyDescent="0.35">
      <c r="C60" s="21" t="s">
        <v>192</v>
      </c>
      <c r="D60" s="177" t="s">
        <v>242</v>
      </c>
      <c r="E60" s="186"/>
      <c r="F60" s="186"/>
      <c r="G60" s="186"/>
      <c r="H60" s="186"/>
      <c r="I60" s="186"/>
      <c r="J60" s="186"/>
      <c r="K60" s="186"/>
      <c r="L60" s="186"/>
      <c r="M60" s="186"/>
      <c r="N60" s="104" t="s">
        <v>11</v>
      </c>
      <c r="O60" s="105"/>
      <c r="P60" s="184"/>
      <c r="Q60" s="184"/>
      <c r="R60" s="185"/>
      <c r="S60" s="17"/>
      <c r="U60" s="19"/>
      <c r="V60" s="19"/>
      <c r="W60" s="19"/>
      <c r="X60" s="19"/>
      <c r="Y60" s="19"/>
      <c r="Z60" s="19" t="str">
        <f t="shared" ref="Z60" si="0">N60</f>
        <v>YES</v>
      </c>
      <c r="AA60" s="19"/>
      <c r="AB60" s="19"/>
      <c r="AC60" s="19"/>
      <c r="AD60" s="19"/>
      <c r="AE60" s="19"/>
      <c r="AF60" s="19"/>
      <c r="AG60" s="19"/>
      <c r="AH60" s="19"/>
      <c r="AI60" s="19"/>
      <c r="AJ60" s="19"/>
      <c r="AK60" s="19"/>
    </row>
    <row r="61" spans="3:37" ht="44.5" customHeight="1" x14ac:dyDescent="0.35">
      <c r="C61" s="21">
        <v>2</v>
      </c>
      <c r="D61" s="98" t="s">
        <v>248</v>
      </c>
      <c r="E61" s="99"/>
      <c r="F61" s="99"/>
      <c r="G61" s="99"/>
      <c r="H61" s="99"/>
      <c r="I61" s="99"/>
      <c r="J61" s="99"/>
      <c r="K61" s="99"/>
      <c r="L61" s="99"/>
      <c r="M61" s="99"/>
      <c r="N61" s="101"/>
      <c r="O61" s="101"/>
      <c r="P61" s="101"/>
      <c r="Q61" s="101"/>
      <c r="R61" s="101"/>
      <c r="S61" s="68" t="str">
        <f>IF(COUNTA(N62:O63)=0,"",IF(COUNTIF(N62:O63,"No")&gt;=1,"NO",IF(COUNTIF(N62:O63,"SUBMITTED WITH OPEN DEFECTS")&gt;=1,"SUBMITTED WITH OPEN DEFECTS",IF(COUNTIF(N62:O63,"Yes")&gt;=1,"YES","NA"))))</f>
        <v>YES</v>
      </c>
      <c r="U61" s="19"/>
      <c r="V61" s="19"/>
      <c r="W61" s="19"/>
      <c r="X61" s="19"/>
      <c r="Y61" s="19"/>
      <c r="Z61" s="19" t="str">
        <f>N62</f>
        <v>YES</v>
      </c>
      <c r="AA61" s="19"/>
      <c r="AB61" s="19"/>
      <c r="AC61" s="19"/>
      <c r="AD61" s="19"/>
      <c r="AE61" s="19"/>
      <c r="AF61" s="19"/>
      <c r="AG61" s="19"/>
      <c r="AH61" s="19"/>
      <c r="AI61" s="19"/>
      <c r="AJ61" s="19"/>
      <c r="AK61" s="19"/>
    </row>
    <row r="62" spans="3:37" ht="44.5" customHeight="1" x14ac:dyDescent="0.35">
      <c r="C62" s="21" t="s">
        <v>198</v>
      </c>
      <c r="D62" s="177" t="s">
        <v>517</v>
      </c>
      <c r="E62" s="177"/>
      <c r="F62" s="177"/>
      <c r="G62" s="177"/>
      <c r="H62" s="177"/>
      <c r="I62" s="177"/>
      <c r="J62" s="177"/>
      <c r="K62" s="177"/>
      <c r="L62" s="177"/>
      <c r="M62" s="177"/>
      <c r="N62" s="104" t="s">
        <v>11</v>
      </c>
      <c r="O62" s="105"/>
      <c r="P62" s="178"/>
      <c r="Q62" s="178"/>
      <c r="R62" s="179"/>
      <c r="S62" s="36"/>
      <c r="U62" s="19"/>
      <c r="V62" s="19"/>
      <c r="W62" s="19"/>
      <c r="X62" s="19"/>
      <c r="Y62" s="19"/>
      <c r="Z62" s="19" t="str">
        <f>N63</f>
        <v>YES</v>
      </c>
      <c r="AA62" s="19"/>
      <c r="AB62" s="19"/>
      <c r="AC62" s="19"/>
      <c r="AD62" s="19"/>
      <c r="AE62" s="19"/>
      <c r="AF62" s="19"/>
      <c r="AG62" s="19"/>
      <c r="AH62" s="19"/>
      <c r="AI62" s="19"/>
      <c r="AJ62" s="19"/>
      <c r="AK62" s="19"/>
    </row>
    <row r="63" spans="3:37" ht="41" customHeight="1" x14ac:dyDescent="0.35">
      <c r="C63" s="22" t="s">
        <v>199</v>
      </c>
      <c r="D63" s="277" t="s">
        <v>518</v>
      </c>
      <c r="E63" s="277"/>
      <c r="F63" s="277"/>
      <c r="G63" s="277"/>
      <c r="H63" s="277"/>
      <c r="I63" s="277"/>
      <c r="J63" s="277"/>
      <c r="K63" s="277"/>
      <c r="L63" s="277"/>
      <c r="M63" s="278"/>
      <c r="N63" s="104" t="s">
        <v>11</v>
      </c>
      <c r="O63" s="105"/>
      <c r="P63" s="107"/>
      <c r="Q63" s="108"/>
      <c r="R63" s="109"/>
      <c r="S63" s="17"/>
      <c r="U63" s="19"/>
      <c r="V63" s="19"/>
      <c r="W63" s="19"/>
      <c r="X63" s="19"/>
      <c r="Y63" s="19"/>
      <c r="Z63" s="19" t="str">
        <f>N65</f>
        <v>YES</v>
      </c>
      <c r="AA63" s="19"/>
      <c r="AB63" s="19"/>
      <c r="AC63" s="19"/>
      <c r="AD63" s="19"/>
      <c r="AE63" s="19"/>
      <c r="AF63" s="19"/>
      <c r="AG63" s="19"/>
      <c r="AH63" s="19"/>
      <c r="AI63" s="19"/>
      <c r="AJ63" s="19"/>
      <c r="AK63" s="19"/>
    </row>
    <row r="64" spans="3:37" ht="34" customHeight="1" x14ac:dyDescent="0.35">
      <c r="C64" s="20">
        <v>3</v>
      </c>
      <c r="D64" s="93" t="s">
        <v>392</v>
      </c>
      <c r="E64" s="94"/>
      <c r="F64" s="94"/>
      <c r="G64" s="94"/>
      <c r="H64" s="94"/>
      <c r="I64" s="94"/>
      <c r="J64" s="94"/>
      <c r="K64" s="94"/>
      <c r="L64" s="94"/>
      <c r="M64" s="94"/>
      <c r="N64" s="95"/>
      <c r="O64" s="95"/>
      <c r="P64" s="95"/>
      <c r="Q64" s="95"/>
      <c r="R64" s="100"/>
      <c r="S64" s="68" t="str">
        <f>IF(N65="","",N65)</f>
        <v>YES</v>
      </c>
      <c r="U64" s="19"/>
      <c r="V64" s="19"/>
      <c r="W64" s="19"/>
      <c r="X64" s="19"/>
      <c r="Y64" s="19"/>
      <c r="Z64" s="19" t="str">
        <f>N67</f>
        <v>YES</v>
      </c>
      <c r="AA64" s="19"/>
      <c r="AB64" s="19"/>
      <c r="AC64" s="19"/>
      <c r="AD64" s="19"/>
      <c r="AE64" s="19"/>
      <c r="AF64" s="19"/>
      <c r="AG64" s="19"/>
      <c r="AH64" s="19"/>
      <c r="AI64" s="19"/>
      <c r="AJ64" s="19"/>
      <c r="AK64" s="19"/>
    </row>
    <row r="65" spans="3:37" ht="44.5" customHeight="1" x14ac:dyDescent="0.35">
      <c r="C65" s="22" t="s">
        <v>200</v>
      </c>
      <c r="D65" s="275" t="s">
        <v>522</v>
      </c>
      <c r="E65" s="275"/>
      <c r="F65" s="275"/>
      <c r="G65" s="275"/>
      <c r="H65" s="275"/>
      <c r="I65" s="275"/>
      <c r="J65" s="275"/>
      <c r="K65" s="275"/>
      <c r="L65" s="275"/>
      <c r="M65" s="276"/>
      <c r="N65" s="104" t="s">
        <v>11</v>
      </c>
      <c r="O65" s="105"/>
      <c r="P65" s="107"/>
      <c r="Q65" s="108"/>
      <c r="R65" s="109"/>
      <c r="S65" s="10"/>
      <c r="U65" s="19"/>
      <c r="V65" s="19"/>
      <c r="W65" s="19"/>
      <c r="X65" s="19"/>
      <c r="Y65" s="19"/>
      <c r="Z65" s="19" t="str">
        <f>N69</f>
        <v>YES</v>
      </c>
      <c r="AA65" s="19"/>
      <c r="AB65" s="19"/>
      <c r="AC65" s="19"/>
      <c r="AD65" s="19"/>
      <c r="AE65" s="19"/>
      <c r="AF65" s="19"/>
      <c r="AG65" s="19"/>
      <c r="AH65" s="19"/>
      <c r="AI65" s="19"/>
      <c r="AJ65" s="19"/>
      <c r="AK65" s="19"/>
    </row>
    <row r="66" spans="3:37" ht="44.5" customHeight="1" x14ac:dyDescent="0.35">
      <c r="C66" s="20">
        <v>4</v>
      </c>
      <c r="D66" s="93" t="s">
        <v>201</v>
      </c>
      <c r="E66" s="94"/>
      <c r="F66" s="94"/>
      <c r="G66" s="94"/>
      <c r="H66" s="94"/>
      <c r="I66" s="94"/>
      <c r="J66" s="94"/>
      <c r="K66" s="94"/>
      <c r="L66" s="94"/>
      <c r="M66" s="94"/>
      <c r="N66" s="95"/>
      <c r="O66" s="95"/>
      <c r="P66" s="95"/>
      <c r="Q66" s="95"/>
      <c r="R66" s="95"/>
      <c r="S66" s="68" t="str">
        <f>IF(N67="","",N67)</f>
        <v>YES</v>
      </c>
      <c r="U66" s="19"/>
      <c r="V66" s="19"/>
      <c r="W66" s="19"/>
      <c r="X66" s="19"/>
      <c r="Y66" s="19"/>
      <c r="Z66" s="19" t="str">
        <f>N71</f>
        <v>YES</v>
      </c>
      <c r="AA66" s="19"/>
      <c r="AB66" s="19"/>
      <c r="AC66" s="19"/>
      <c r="AD66" s="19"/>
      <c r="AE66" s="19"/>
      <c r="AF66" s="19"/>
      <c r="AG66" s="19"/>
      <c r="AH66" s="19"/>
      <c r="AI66" s="19"/>
      <c r="AJ66" s="19"/>
      <c r="AK66" s="19"/>
    </row>
    <row r="67" spans="3:37" ht="202" customHeight="1" x14ac:dyDescent="0.35">
      <c r="C67" s="22" t="s">
        <v>202</v>
      </c>
      <c r="D67" s="275" t="s">
        <v>511</v>
      </c>
      <c r="E67" s="275"/>
      <c r="F67" s="275"/>
      <c r="G67" s="275"/>
      <c r="H67" s="275"/>
      <c r="I67" s="275"/>
      <c r="J67" s="275"/>
      <c r="K67" s="275"/>
      <c r="L67" s="275"/>
      <c r="M67" s="276"/>
      <c r="N67" s="104" t="s">
        <v>11</v>
      </c>
      <c r="O67" s="105"/>
      <c r="P67" s="107"/>
      <c r="Q67" s="108"/>
      <c r="R67" s="109"/>
      <c r="S67" s="10"/>
      <c r="U67" s="19"/>
      <c r="V67" s="19"/>
      <c r="W67" s="19"/>
      <c r="X67" s="19"/>
      <c r="Y67" s="19"/>
      <c r="Z67" s="19" t="str">
        <f>N72</f>
        <v>YES</v>
      </c>
      <c r="AA67" s="19"/>
      <c r="AB67" s="19"/>
      <c r="AC67" s="19"/>
      <c r="AD67" s="19"/>
      <c r="AE67" s="19"/>
      <c r="AF67" s="19"/>
      <c r="AG67" s="19"/>
      <c r="AH67" s="19"/>
      <c r="AI67" s="19"/>
      <c r="AJ67" s="19"/>
      <c r="AK67" s="19"/>
    </row>
    <row r="68" spans="3:37" ht="44.5" customHeight="1" x14ac:dyDescent="0.35">
      <c r="C68" s="20">
        <v>5</v>
      </c>
      <c r="D68" s="93" t="s">
        <v>391</v>
      </c>
      <c r="E68" s="94"/>
      <c r="F68" s="94"/>
      <c r="G68" s="94"/>
      <c r="H68" s="94"/>
      <c r="I68" s="94"/>
      <c r="J68" s="94"/>
      <c r="K68" s="94"/>
      <c r="L68" s="94"/>
      <c r="M68" s="94"/>
      <c r="N68" s="95"/>
      <c r="O68" s="95"/>
      <c r="P68" s="95"/>
      <c r="Q68" s="95"/>
      <c r="R68" s="95"/>
      <c r="S68" s="68" t="str">
        <f>IF(N69="","",N69)</f>
        <v>YES</v>
      </c>
      <c r="U68" s="19"/>
      <c r="V68" s="19"/>
      <c r="W68" s="19"/>
      <c r="X68" s="19"/>
      <c r="Y68" s="19"/>
      <c r="Z68" s="19" t="str">
        <f>N73</f>
        <v>YES</v>
      </c>
      <c r="AA68" s="19"/>
      <c r="AB68" s="19"/>
      <c r="AC68" s="19"/>
      <c r="AD68" s="19"/>
      <c r="AE68" s="19"/>
      <c r="AF68" s="19"/>
      <c r="AG68" s="19"/>
      <c r="AH68" s="19"/>
      <c r="AI68" s="19"/>
      <c r="AJ68" s="19"/>
      <c r="AK68" s="19"/>
    </row>
    <row r="69" spans="3:37" ht="40.5" customHeight="1" x14ac:dyDescent="0.35">
      <c r="C69" s="22" t="s">
        <v>204</v>
      </c>
      <c r="D69" s="274" t="s">
        <v>527</v>
      </c>
      <c r="E69" s="274"/>
      <c r="F69" s="274"/>
      <c r="G69" s="274"/>
      <c r="H69" s="274"/>
      <c r="I69" s="274"/>
      <c r="J69" s="274"/>
      <c r="K69" s="274"/>
      <c r="L69" s="274"/>
      <c r="M69" s="274"/>
      <c r="N69" s="104" t="s">
        <v>11</v>
      </c>
      <c r="O69" s="105"/>
      <c r="P69" s="107"/>
      <c r="Q69" s="108"/>
      <c r="R69" s="108"/>
      <c r="S69" s="12"/>
      <c r="U69" s="19"/>
      <c r="V69" s="19"/>
      <c r="W69" s="19"/>
      <c r="X69" s="19"/>
      <c r="Y69" s="19"/>
      <c r="Z69" s="19" t="str">
        <f>N75</f>
        <v>YES</v>
      </c>
      <c r="AA69" s="19"/>
      <c r="AB69" s="19"/>
      <c r="AC69" s="19"/>
      <c r="AD69" s="19"/>
      <c r="AE69" s="19"/>
      <c r="AF69" s="19"/>
      <c r="AG69" s="19"/>
      <c r="AH69" s="19"/>
      <c r="AI69" s="19"/>
      <c r="AJ69" s="19"/>
      <c r="AK69" s="19"/>
    </row>
    <row r="70" spans="3:37" ht="44.5" customHeight="1" x14ac:dyDescent="0.35">
      <c r="C70" s="20">
        <v>6</v>
      </c>
      <c r="D70" s="93" t="s">
        <v>390</v>
      </c>
      <c r="E70" s="94"/>
      <c r="F70" s="94"/>
      <c r="G70" s="94"/>
      <c r="H70" s="94"/>
      <c r="I70" s="94"/>
      <c r="J70" s="94"/>
      <c r="K70" s="94"/>
      <c r="L70" s="94"/>
      <c r="M70" s="94"/>
      <c r="N70" s="95"/>
      <c r="O70" s="95"/>
      <c r="P70" s="95"/>
      <c r="Q70" s="95"/>
      <c r="R70" s="95"/>
      <c r="S70" s="68" t="str">
        <f>IF(COUNTA(N71:O73)=0,"",IF(COUNTIF(N71:O73,"No")&gt;=1,"NO",IF(COUNTIF(N71:O73,"SUBMITTED WITH OPEN DEFECTS")&gt;=1,"SUBMITTED WITH OPEN DEFECTS",IF(COUNTIF(N71:O73,"Yes")&gt;=1,"YES","NA"))))</f>
        <v>YES</v>
      </c>
      <c r="U70" s="19"/>
      <c r="V70" s="19"/>
      <c r="W70" s="19"/>
      <c r="X70" s="19"/>
      <c r="Y70" s="19"/>
      <c r="Z70" s="19" t="str">
        <f>N77</f>
        <v>YES</v>
      </c>
      <c r="AA70" s="19"/>
      <c r="AB70" s="19"/>
      <c r="AC70" s="19"/>
      <c r="AD70" s="19"/>
      <c r="AE70" s="19"/>
      <c r="AF70" s="19"/>
      <c r="AG70" s="19"/>
      <c r="AH70" s="19"/>
      <c r="AI70" s="19"/>
      <c r="AJ70" s="19"/>
      <c r="AK70" s="19"/>
    </row>
    <row r="71" spans="3:37" ht="44.5" customHeight="1" x14ac:dyDescent="0.35">
      <c r="C71" s="22" t="s">
        <v>205</v>
      </c>
      <c r="D71" s="274" t="s">
        <v>206</v>
      </c>
      <c r="E71" s="274"/>
      <c r="F71" s="274"/>
      <c r="G71" s="274"/>
      <c r="H71" s="274"/>
      <c r="I71" s="274"/>
      <c r="J71" s="274"/>
      <c r="K71" s="274"/>
      <c r="L71" s="274"/>
      <c r="M71" s="274"/>
      <c r="N71" s="104" t="s">
        <v>11</v>
      </c>
      <c r="O71" s="105"/>
      <c r="P71" s="107"/>
      <c r="Q71" s="108"/>
      <c r="R71" s="109"/>
      <c r="S71" s="39"/>
      <c r="U71" s="19"/>
      <c r="V71" s="19"/>
      <c r="W71" s="19"/>
      <c r="X71" s="19"/>
      <c r="Y71" s="19"/>
      <c r="Z71" s="19" t="str">
        <f>N78</f>
        <v>YES</v>
      </c>
      <c r="AA71" s="19"/>
      <c r="AB71" s="19"/>
      <c r="AC71" s="19"/>
      <c r="AD71" s="19"/>
      <c r="AE71" s="19"/>
      <c r="AF71" s="19"/>
      <c r="AG71" s="19"/>
      <c r="AH71" s="19"/>
      <c r="AI71" s="19"/>
      <c r="AJ71" s="19"/>
      <c r="AK71" s="19"/>
    </row>
    <row r="72" spans="3:37" ht="44.5" customHeight="1" x14ac:dyDescent="0.35">
      <c r="C72" s="22" t="s">
        <v>207</v>
      </c>
      <c r="D72" s="275" t="s">
        <v>208</v>
      </c>
      <c r="E72" s="275"/>
      <c r="F72" s="275"/>
      <c r="G72" s="275"/>
      <c r="H72" s="275"/>
      <c r="I72" s="275"/>
      <c r="J72" s="275"/>
      <c r="K72" s="275"/>
      <c r="L72" s="275"/>
      <c r="M72" s="275"/>
      <c r="N72" s="104" t="s">
        <v>11</v>
      </c>
      <c r="O72" s="105"/>
      <c r="P72" s="107"/>
      <c r="Q72" s="108"/>
      <c r="R72" s="109"/>
      <c r="S72" s="37"/>
      <c r="U72" s="19"/>
      <c r="V72" s="19"/>
      <c r="W72" s="19"/>
      <c r="X72" s="19"/>
      <c r="Y72" s="19"/>
      <c r="Z72" s="73">
        <f>E82</f>
        <v>45539</v>
      </c>
      <c r="AA72" s="19"/>
      <c r="AB72" s="19"/>
      <c r="AC72" s="19"/>
      <c r="AD72" s="19"/>
      <c r="AE72" s="19"/>
      <c r="AF72" s="19"/>
      <c r="AG72" s="19"/>
      <c r="AH72" s="19"/>
      <c r="AI72" s="19"/>
      <c r="AJ72" s="19"/>
      <c r="AK72" s="19"/>
    </row>
    <row r="73" spans="3:37" ht="44.5" customHeight="1" x14ac:dyDescent="0.35">
      <c r="C73" s="22" t="s">
        <v>209</v>
      </c>
      <c r="D73" s="275" t="s">
        <v>210</v>
      </c>
      <c r="E73" s="275"/>
      <c r="F73" s="275"/>
      <c r="G73" s="275"/>
      <c r="H73" s="275"/>
      <c r="I73" s="275"/>
      <c r="J73" s="275"/>
      <c r="K73" s="275"/>
      <c r="L73" s="275"/>
      <c r="M73" s="275"/>
      <c r="N73" s="104" t="s">
        <v>11</v>
      </c>
      <c r="O73" s="105"/>
      <c r="P73" s="107"/>
      <c r="Q73" s="108"/>
      <c r="R73" s="109"/>
      <c r="S73" s="40"/>
      <c r="U73" s="19"/>
      <c r="V73" s="19"/>
      <c r="W73" s="19"/>
      <c r="X73" s="19"/>
      <c r="Y73" s="19"/>
      <c r="AA73" s="19"/>
      <c r="AB73" s="19"/>
      <c r="AC73" s="19"/>
      <c r="AD73" s="19"/>
      <c r="AE73" s="19"/>
      <c r="AF73" s="19"/>
      <c r="AG73" s="19"/>
      <c r="AH73" s="19"/>
      <c r="AI73" s="19"/>
      <c r="AJ73" s="19"/>
      <c r="AK73" s="19"/>
    </row>
    <row r="74" spans="3:37" ht="46.5" customHeight="1" x14ac:dyDescent="0.35">
      <c r="C74" s="20">
        <v>7</v>
      </c>
      <c r="D74" s="93" t="s">
        <v>211</v>
      </c>
      <c r="E74" s="94"/>
      <c r="F74" s="94"/>
      <c r="G74" s="94"/>
      <c r="H74" s="94"/>
      <c r="I74" s="94"/>
      <c r="J74" s="94"/>
      <c r="K74" s="94"/>
      <c r="L74" s="94"/>
      <c r="M74" s="94"/>
      <c r="N74" s="95"/>
      <c r="O74" s="95"/>
      <c r="P74" s="95"/>
      <c r="Q74" s="95"/>
      <c r="R74" s="95"/>
      <c r="S74" s="68" t="str">
        <f>IF(N75="","",N75)</f>
        <v>YES</v>
      </c>
      <c r="U74" s="19"/>
      <c r="V74" s="19"/>
      <c r="W74" s="19"/>
      <c r="X74" s="19"/>
      <c r="Y74" s="19"/>
      <c r="Z74" s="19"/>
      <c r="AA74" s="19"/>
      <c r="AB74" s="19"/>
      <c r="AC74" s="19"/>
      <c r="AD74" s="19"/>
      <c r="AE74" s="19"/>
      <c r="AF74" s="19"/>
      <c r="AG74" s="19"/>
      <c r="AH74" s="19"/>
      <c r="AI74" s="19"/>
      <c r="AJ74" s="19"/>
      <c r="AK74" s="19"/>
    </row>
    <row r="75" spans="3:37" ht="57.5" customHeight="1" x14ac:dyDescent="0.35">
      <c r="C75" s="22" t="s">
        <v>212</v>
      </c>
      <c r="D75" s="275" t="s">
        <v>402</v>
      </c>
      <c r="E75" s="275"/>
      <c r="F75" s="275"/>
      <c r="G75" s="275"/>
      <c r="H75" s="275"/>
      <c r="I75" s="275"/>
      <c r="J75" s="275"/>
      <c r="K75" s="275"/>
      <c r="L75" s="275"/>
      <c r="M75" s="275"/>
      <c r="N75" s="104" t="s">
        <v>11</v>
      </c>
      <c r="O75" s="105"/>
      <c r="P75" s="107"/>
      <c r="Q75" s="108"/>
      <c r="R75" s="109"/>
      <c r="S75" s="12"/>
      <c r="U75" s="19"/>
      <c r="V75" s="19"/>
      <c r="W75" s="19"/>
      <c r="X75" s="19"/>
      <c r="Y75" s="19"/>
      <c r="AA75" s="19"/>
      <c r="AB75" s="19"/>
      <c r="AC75" s="19"/>
      <c r="AD75" s="19"/>
      <c r="AE75" s="19"/>
      <c r="AF75" s="19"/>
      <c r="AG75" s="19"/>
      <c r="AH75" s="19"/>
      <c r="AI75" s="19"/>
      <c r="AJ75" s="19"/>
      <c r="AK75" s="19"/>
    </row>
    <row r="76" spans="3:37" ht="55.5" customHeight="1" x14ac:dyDescent="0.35">
      <c r="C76" s="20">
        <v>8</v>
      </c>
      <c r="D76" s="96" t="s">
        <v>389</v>
      </c>
      <c r="E76" s="97"/>
      <c r="F76" s="97"/>
      <c r="G76" s="97"/>
      <c r="H76" s="97"/>
      <c r="I76" s="97"/>
      <c r="J76" s="97"/>
      <c r="K76" s="97"/>
      <c r="L76" s="97"/>
      <c r="M76" s="97"/>
      <c r="N76" s="170"/>
      <c r="O76" s="170"/>
      <c r="P76" s="170"/>
      <c r="Q76" s="170"/>
      <c r="R76" s="170"/>
      <c r="S76" s="68" t="str">
        <f>IF(COUNTA(N77:O78)=0,"",IF(COUNTIF(N77:O78,"No")&gt;=1,"NO",IF(COUNTIF(N77:O78,"SUBMITTED WITH OPEN DEFECTS")&gt;=1,"SUBMITTED WITH OPEN DEFECTS",IF(COUNTIF(N77:O78,"Yes")&gt;=1,"YES","NA"))))</f>
        <v>YES</v>
      </c>
      <c r="U76" s="19"/>
      <c r="V76" s="19"/>
      <c r="W76" s="19"/>
      <c r="X76" s="19"/>
      <c r="Y76" s="19"/>
      <c r="Z76" s="19"/>
      <c r="AA76" s="19"/>
      <c r="AB76" s="19"/>
      <c r="AC76" s="19"/>
      <c r="AD76" s="19"/>
      <c r="AE76" s="19"/>
      <c r="AF76" s="19"/>
      <c r="AG76" s="19"/>
      <c r="AH76" s="19"/>
      <c r="AI76" s="19"/>
      <c r="AJ76" s="19"/>
      <c r="AK76" s="19"/>
    </row>
    <row r="77" spans="3:37" ht="66" customHeight="1" x14ac:dyDescent="0.35">
      <c r="C77" s="22" t="s">
        <v>213</v>
      </c>
      <c r="D77" s="275" t="s">
        <v>214</v>
      </c>
      <c r="E77" s="275"/>
      <c r="F77" s="275"/>
      <c r="G77" s="275"/>
      <c r="H77" s="275"/>
      <c r="I77" s="275"/>
      <c r="J77" s="275"/>
      <c r="K77" s="275"/>
      <c r="L77" s="275"/>
      <c r="M77" s="276"/>
      <c r="N77" s="104" t="s">
        <v>11</v>
      </c>
      <c r="O77" s="105"/>
      <c r="P77" s="107"/>
      <c r="Q77" s="108"/>
      <c r="R77" s="109"/>
      <c r="S77" s="36"/>
      <c r="U77" s="19"/>
      <c r="V77" s="19"/>
      <c r="W77" s="19"/>
      <c r="X77" s="19"/>
      <c r="Y77" s="19"/>
      <c r="AA77" s="19"/>
      <c r="AB77" s="19"/>
      <c r="AC77" s="19"/>
      <c r="AD77" s="19"/>
      <c r="AE77" s="19"/>
      <c r="AF77" s="19"/>
      <c r="AG77" s="19"/>
      <c r="AH77" s="19"/>
      <c r="AI77" s="19"/>
      <c r="AJ77" s="19"/>
      <c r="AK77" s="19"/>
    </row>
    <row r="78" spans="3:37" ht="65" customHeight="1" x14ac:dyDescent="0.35">
      <c r="C78" s="22" t="s">
        <v>215</v>
      </c>
      <c r="D78" s="275" t="s">
        <v>216</v>
      </c>
      <c r="E78" s="275"/>
      <c r="F78" s="275"/>
      <c r="G78" s="275"/>
      <c r="H78" s="275"/>
      <c r="I78" s="275"/>
      <c r="J78" s="275"/>
      <c r="K78" s="275"/>
      <c r="L78" s="275"/>
      <c r="M78" s="276"/>
      <c r="N78" s="104" t="s">
        <v>11</v>
      </c>
      <c r="O78" s="105"/>
      <c r="P78" s="107"/>
      <c r="Q78" s="108"/>
      <c r="R78" s="109"/>
      <c r="S78" s="37"/>
      <c r="U78" s="19"/>
      <c r="V78" s="19"/>
      <c r="W78" s="19"/>
      <c r="X78" s="19"/>
      <c r="Y78" s="19"/>
      <c r="AA78" s="19"/>
      <c r="AB78" s="19"/>
      <c r="AC78" s="19"/>
      <c r="AD78" s="19"/>
      <c r="AE78" s="19"/>
      <c r="AF78" s="19"/>
      <c r="AG78" s="19"/>
      <c r="AH78" s="19"/>
      <c r="AI78" s="19"/>
      <c r="AJ78" s="19"/>
      <c r="AK78" s="19"/>
    </row>
    <row r="79" spans="3:37" ht="31.5" hidden="1" customHeight="1" x14ac:dyDescent="0.35">
      <c r="C79" s="20">
        <v>9</v>
      </c>
      <c r="D79" s="171" t="s">
        <v>217</v>
      </c>
      <c r="E79" s="103"/>
      <c r="F79" s="103"/>
      <c r="G79" s="103"/>
      <c r="H79" s="103"/>
      <c r="I79" s="103"/>
      <c r="J79" s="103"/>
      <c r="K79" s="103"/>
      <c r="L79" s="103"/>
      <c r="M79" s="103"/>
      <c r="N79" s="156"/>
      <c r="O79" s="105"/>
      <c r="P79" s="115" t="s">
        <v>514</v>
      </c>
      <c r="Q79" s="115"/>
      <c r="R79" s="115"/>
      <c r="S79" s="41"/>
      <c r="U79" s="19"/>
      <c r="V79" s="19"/>
      <c r="W79" s="19"/>
      <c r="X79" s="19"/>
      <c r="Y79" s="19"/>
      <c r="AA79" s="19"/>
      <c r="AB79" s="19"/>
      <c r="AC79" s="19"/>
      <c r="AD79" s="19"/>
      <c r="AE79" s="19"/>
      <c r="AF79" s="19"/>
      <c r="AG79" s="19"/>
      <c r="AH79" s="19"/>
      <c r="AI79" s="19"/>
      <c r="AJ79" s="19"/>
      <c r="AK79" s="19"/>
    </row>
    <row r="80" spans="3:37" ht="28" customHeight="1" x14ac:dyDescent="0.35">
      <c r="C80" s="120" t="s">
        <v>231</v>
      </c>
      <c r="D80" s="121"/>
      <c r="E80" s="121"/>
      <c r="F80" s="121"/>
      <c r="G80" s="121"/>
      <c r="H80" s="121"/>
      <c r="I80" s="121"/>
      <c r="J80" s="121"/>
      <c r="K80" s="121"/>
      <c r="L80" s="121"/>
      <c r="M80" s="121"/>
      <c r="N80" s="121"/>
      <c r="O80" s="121"/>
      <c r="P80" s="121"/>
      <c r="Q80" s="121"/>
      <c r="R80" s="121"/>
      <c r="S80" s="7"/>
      <c r="U80" s="19"/>
      <c r="V80" s="19"/>
      <c r="W80" s="19"/>
      <c r="X80" s="19"/>
      <c r="Y80" s="19"/>
      <c r="Z80" s="19"/>
      <c r="AA80" s="19"/>
      <c r="AB80" s="19"/>
      <c r="AC80" s="19"/>
      <c r="AD80" s="19"/>
      <c r="AE80" s="19"/>
      <c r="AF80" s="19"/>
      <c r="AG80" s="19"/>
      <c r="AH80" s="19"/>
      <c r="AI80" s="19"/>
      <c r="AJ80" s="19"/>
      <c r="AK80" s="19"/>
    </row>
    <row r="81" spans="3:37" ht="44.5" customHeight="1" x14ac:dyDescent="0.35">
      <c r="C81" s="154" t="s">
        <v>232</v>
      </c>
      <c r="D81" s="176"/>
      <c r="E81" s="75" t="s">
        <v>524</v>
      </c>
      <c r="F81" s="122" t="s">
        <v>233</v>
      </c>
      <c r="G81" s="122"/>
      <c r="H81" s="122" t="s">
        <v>234</v>
      </c>
      <c r="I81" s="122"/>
      <c r="J81" s="122" t="s">
        <v>235</v>
      </c>
      <c r="K81" s="122"/>
      <c r="L81" s="122" t="s">
        <v>236</v>
      </c>
      <c r="M81" s="122"/>
      <c r="N81" s="122"/>
      <c r="O81" s="122"/>
      <c r="P81" s="122" t="s">
        <v>237</v>
      </c>
      <c r="Q81" s="122"/>
      <c r="R81" s="122"/>
      <c r="S81" s="7"/>
      <c r="U81" s="19"/>
      <c r="V81" s="19"/>
      <c r="W81" s="19"/>
      <c r="X81" s="19"/>
      <c r="Y81" s="19"/>
      <c r="Z81" s="19"/>
      <c r="AA81" s="19"/>
      <c r="AB81" s="19"/>
      <c r="AC81" s="19"/>
      <c r="AD81" s="19"/>
      <c r="AE81" s="19"/>
      <c r="AF81" s="19"/>
      <c r="AG81" s="19"/>
      <c r="AH81" s="19"/>
      <c r="AI81" s="19"/>
      <c r="AJ81" s="19"/>
      <c r="AK81" s="19"/>
    </row>
    <row r="82" spans="3:37" ht="44.5" customHeight="1" x14ac:dyDescent="0.35">
      <c r="C82" s="154" t="s">
        <v>411</v>
      </c>
      <c r="D82" s="155"/>
      <c r="E82" s="76">
        <v>45539</v>
      </c>
      <c r="F82" s="137" t="s">
        <v>12</v>
      </c>
      <c r="G82" s="137"/>
      <c r="H82" s="138">
        <v>45539</v>
      </c>
      <c r="I82" s="139"/>
      <c r="J82" s="140" t="str">
        <f>IF(COUNTA(Z59:Z72)=0,"",IF(COUNTIF(Z59:Z72,"No")&gt;=1,"Defects Raised",IF(COUNTIF(Z59:Z72,"Yes")&gt;=1,"No Defects","")))</f>
        <v>No Defects</v>
      </c>
      <c r="K82" s="140"/>
      <c r="L82" s="139" t="s">
        <v>16</v>
      </c>
      <c r="M82" s="139"/>
      <c r="N82" s="139"/>
      <c r="O82" s="139"/>
      <c r="P82" s="141"/>
      <c r="Q82" s="141"/>
      <c r="R82" s="141"/>
      <c r="S82" s="7"/>
      <c r="U82" s="19"/>
      <c r="V82" s="19"/>
      <c r="W82" s="19"/>
      <c r="X82" s="19"/>
      <c r="Y82" s="19"/>
      <c r="Z82" s="19"/>
      <c r="AA82" s="19"/>
      <c r="AB82" s="19"/>
      <c r="AC82" s="19"/>
      <c r="AD82" s="19"/>
      <c r="AE82" s="19"/>
      <c r="AF82" s="19"/>
      <c r="AG82" s="19"/>
      <c r="AH82" s="19"/>
      <c r="AI82" s="19"/>
      <c r="AJ82" s="19"/>
      <c r="AK82" s="19"/>
    </row>
    <row r="83" spans="3:37" ht="26.5" customHeight="1" x14ac:dyDescent="0.35">
      <c r="C83" s="180" t="s">
        <v>250</v>
      </c>
      <c r="D83" s="181"/>
      <c r="E83" s="181"/>
      <c r="F83" s="181"/>
      <c r="G83" s="181"/>
      <c r="H83" s="181"/>
      <c r="I83" s="181"/>
      <c r="J83" s="181"/>
      <c r="K83" s="181"/>
      <c r="L83" s="181"/>
      <c r="M83" s="181"/>
      <c r="N83" s="181"/>
      <c r="O83" s="181"/>
      <c r="P83" s="181"/>
      <c r="Q83" s="181"/>
      <c r="R83" s="181"/>
      <c r="S83" s="279"/>
      <c r="U83" s="19"/>
      <c r="V83" s="19"/>
      <c r="W83" s="19"/>
      <c r="X83" s="19"/>
      <c r="Y83" s="19"/>
      <c r="Z83" s="19"/>
      <c r="AA83" s="19"/>
      <c r="AB83" s="19"/>
      <c r="AC83" s="19"/>
      <c r="AD83" s="19"/>
      <c r="AE83" s="19"/>
      <c r="AF83" s="19"/>
      <c r="AG83" s="19"/>
      <c r="AH83" s="19"/>
      <c r="AI83" s="19"/>
      <c r="AJ83" s="19"/>
      <c r="AK83" s="19"/>
    </row>
    <row r="84" spans="3:37" ht="77" customHeight="1" x14ac:dyDescent="0.35">
      <c r="C84" s="20">
        <v>1</v>
      </c>
      <c r="D84" s="99" t="s">
        <v>388</v>
      </c>
      <c r="E84" s="99"/>
      <c r="F84" s="99"/>
      <c r="G84" s="99"/>
      <c r="H84" s="99"/>
      <c r="I84" s="99"/>
      <c r="J84" s="99"/>
      <c r="K84" s="99"/>
      <c r="L84" s="99"/>
      <c r="M84" s="99"/>
      <c r="N84" s="99"/>
      <c r="O84" s="99"/>
      <c r="P84" s="99"/>
      <c r="Q84" s="99"/>
      <c r="R84" s="99"/>
      <c r="S84" s="68" t="str">
        <f>IF(COUNTA(N85:O91)=0,"",IF(COUNTIF(N85:O91,"No")&gt;=1,"NO",IF(COUNTIF(N85:O91,"SUBMITTED WITH OPEN DEFECTS")&gt;=1,"SUBMITTED WITH OPEN DEFECTS",IF(COUNTIF(N85:O91,"Yes")&gt;=1,"YES","NA"))))</f>
        <v>YES</v>
      </c>
      <c r="T84" s="18">
        <v>43</v>
      </c>
      <c r="U84" s="19"/>
      <c r="V84" s="19"/>
      <c r="W84" s="19"/>
      <c r="X84" s="19"/>
      <c r="Y84" s="19"/>
      <c r="Z84" s="19"/>
      <c r="AA84" s="19"/>
      <c r="AB84" s="19"/>
      <c r="AC84" s="19"/>
      <c r="AD84" s="19"/>
      <c r="AE84" s="19"/>
      <c r="AF84" s="19"/>
      <c r="AG84" s="19"/>
      <c r="AH84" s="19"/>
      <c r="AI84" s="19"/>
      <c r="AJ84" s="19"/>
      <c r="AK84" s="19"/>
    </row>
    <row r="85" spans="3:37" ht="35.5" customHeight="1" x14ac:dyDescent="0.35">
      <c r="C85" s="20" t="s">
        <v>191</v>
      </c>
      <c r="D85" s="106" t="s">
        <v>316</v>
      </c>
      <c r="E85" s="106"/>
      <c r="F85" s="106"/>
      <c r="G85" s="106"/>
      <c r="H85" s="106"/>
      <c r="I85" s="106"/>
      <c r="J85" s="106"/>
      <c r="K85" s="106"/>
      <c r="L85" s="106"/>
      <c r="M85" s="106"/>
      <c r="N85" s="104" t="s">
        <v>11</v>
      </c>
      <c r="O85" s="105"/>
      <c r="P85" s="107"/>
      <c r="Q85" s="108"/>
      <c r="R85" s="109"/>
      <c r="S85" s="43"/>
      <c r="U85" s="19"/>
      <c r="V85" s="19"/>
      <c r="W85" s="19"/>
      <c r="X85" s="19"/>
      <c r="Y85" s="19"/>
      <c r="Z85" s="19" t="str">
        <f>N85</f>
        <v>YES</v>
      </c>
      <c r="AA85" s="19"/>
      <c r="AB85" s="19"/>
      <c r="AC85" s="19"/>
      <c r="AD85" s="19"/>
      <c r="AE85" s="19"/>
      <c r="AF85" s="19"/>
      <c r="AG85" s="19"/>
      <c r="AH85" s="19"/>
      <c r="AI85" s="19"/>
      <c r="AJ85" s="19"/>
      <c r="AK85" s="19"/>
    </row>
    <row r="86" spans="3:37" ht="39" customHeight="1" x14ac:dyDescent="0.35">
      <c r="C86" s="20" t="s">
        <v>192</v>
      </c>
      <c r="D86" s="103" t="s">
        <v>251</v>
      </c>
      <c r="E86" s="103"/>
      <c r="F86" s="103"/>
      <c r="G86" s="103"/>
      <c r="H86" s="103"/>
      <c r="I86" s="103"/>
      <c r="J86" s="103"/>
      <c r="K86" s="103"/>
      <c r="L86" s="103"/>
      <c r="M86" s="103"/>
      <c r="N86" s="104" t="s">
        <v>11</v>
      </c>
      <c r="O86" s="105"/>
      <c r="P86" s="107"/>
      <c r="Q86" s="108"/>
      <c r="R86" s="109"/>
      <c r="S86" s="44"/>
      <c r="U86" s="19"/>
      <c r="V86" s="19"/>
      <c r="W86" s="19"/>
      <c r="X86" s="19"/>
      <c r="Y86" s="19"/>
      <c r="Z86" s="19" t="str">
        <f t="shared" ref="Z86:Z91" si="1">N86</f>
        <v>YES</v>
      </c>
      <c r="AA86" s="19"/>
      <c r="AB86" s="19"/>
      <c r="AC86" s="19"/>
      <c r="AD86" s="19"/>
      <c r="AE86" s="19"/>
      <c r="AF86" s="19"/>
      <c r="AG86" s="19"/>
      <c r="AH86" s="19"/>
      <c r="AI86" s="19"/>
      <c r="AJ86" s="19"/>
      <c r="AK86" s="19"/>
    </row>
    <row r="87" spans="3:37" ht="39" customHeight="1" x14ac:dyDescent="0.35">
      <c r="C87" s="20" t="s">
        <v>193</v>
      </c>
      <c r="D87" s="103" t="s">
        <v>407</v>
      </c>
      <c r="E87" s="103"/>
      <c r="F87" s="103"/>
      <c r="G87" s="103"/>
      <c r="H87" s="103"/>
      <c r="I87" s="103"/>
      <c r="J87" s="103"/>
      <c r="K87" s="103"/>
      <c r="L87" s="103"/>
      <c r="M87" s="103"/>
      <c r="N87" s="104" t="s">
        <v>11</v>
      </c>
      <c r="O87" s="105"/>
      <c r="P87" s="107"/>
      <c r="Q87" s="108"/>
      <c r="R87" s="109"/>
      <c r="S87" s="45"/>
      <c r="U87" s="19"/>
      <c r="V87" s="19"/>
      <c r="W87" s="19"/>
      <c r="X87" s="19"/>
      <c r="Y87" s="19"/>
      <c r="Z87" s="19" t="str">
        <f t="shared" si="1"/>
        <v>YES</v>
      </c>
      <c r="AA87" s="19"/>
      <c r="AB87" s="19"/>
      <c r="AC87" s="19"/>
      <c r="AD87" s="19"/>
      <c r="AE87" s="19"/>
      <c r="AF87" s="19"/>
      <c r="AG87" s="19"/>
      <c r="AH87" s="19"/>
      <c r="AI87" s="19"/>
      <c r="AJ87" s="19"/>
      <c r="AK87" s="19"/>
    </row>
    <row r="88" spans="3:37" ht="39" customHeight="1" x14ac:dyDescent="0.35">
      <c r="C88" s="20" t="s">
        <v>252</v>
      </c>
      <c r="D88" s="106" t="s">
        <v>317</v>
      </c>
      <c r="E88" s="106"/>
      <c r="F88" s="106"/>
      <c r="G88" s="106"/>
      <c r="H88" s="106"/>
      <c r="I88" s="106"/>
      <c r="J88" s="106"/>
      <c r="K88" s="106"/>
      <c r="L88" s="106"/>
      <c r="M88" s="106"/>
      <c r="N88" s="104" t="s">
        <v>11</v>
      </c>
      <c r="O88" s="105"/>
      <c r="P88" s="107"/>
      <c r="Q88" s="108"/>
      <c r="R88" s="109"/>
      <c r="S88" s="47"/>
      <c r="U88" s="19"/>
      <c r="V88" s="19"/>
      <c r="W88" s="19"/>
      <c r="X88" s="19"/>
      <c r="Y88" s="19"/>
      <c r="Z88" s="19" t="str">
        <f t="shared" si="1"/>
        <v>YES</v>
      </c>
      <c r="AA88" s="19"/>
      <c r="AB88" s="19"/>
      <c r="AC88" s="19"/>
      <c r="AD88" s="19"/>
      <c r="AE88" s="19"/>
      <c r="AF88" s="19"/>
      <c r="AG88" s="19"/>
      <c r="AH88" s="19"/>
      <c r="AI88" s="19"/>
      <c r="AJ88" s="19"/>
      <c r="AK88" s="19"/>
    </row>
    <row r="89" spans="3:37" ht="39" customHeight="1" x14ac:dyDescent="0.35">
      <c r="C89" s="20" t="s">
        <v>253</v>
      </c>
      <c r="D89" s="106" t="s">
        <v>318</v>
      </c>
      <c r="E89" s="106"/>
      <c r="F89" s="106"/>
      <c r="G89" s="106"/>
      <c r="H89" s="106"/>
      <c r="I89" s="106"/>
      <c r="J89" s="106"/>
      <c r="K89" s="106"/>
      <c r="L89" s="106"/>
      <c r="M89" s="106"/>
      <c r="N89" s="104" t="s">
        <v>11</v>
      </c>
      <c r="O89" s="105"/>
      <c r="P89" s="107"/>
      <c r="Q89" s="108"/>
      <c r="R89" s="109"/>
      <c r="S89" s="47"/>
      <c r="U89" s="19"/>
      <c r="V89" s="19"/>
      <c r="W89" s="19"/>
      <c r="X89" s="19"/>
      <c r="Y89" s="19"/>
      <c r="Z89" s="19" t="str">
        <f t="shared" si="1"/>
        <v>YES</v>
      </c>
      <c r="AA89" s="19"/>
      <c r="AB89" s="19"/>
      <c r="AC89" s="19"/>
      <c r="AD89" s="19"/>
      <c r="AE89" s="19"/>
      <c r="AF89" s="19"/>
      <c r="AG89" s="19"/>
      <c r="AH89" s="19"/>
      <c r="AI89" s="19"/>
      <c r="AJ89" s="19"/>
      <c r="AK89" s="19"/>
    </row>
    <row r="90" spans="3:37" ht="39" customHeight="1" x14ac:dyDescent="0.35">
      <c r="C90" s="20" t="s">
        <v>254</v>
      </c>
      <c r="D90" s="106" t="s">
        <v>319</v>
      </c>
      <c r="E90" s="106"/>
      <c r="F90" s="106"/>
      <c r="G90" s="106"/>
      <c r="H90" s="106"/>
      <c r="I90" s="106"/>
      <c r="J90" s="106"/>
      <c r="K90" s="106"/>
      <c r="L90" s="106"/>
      <c r="M90" s="106"/>
      <c r="N90" s="104" t="s">
        <v>11</v>
      </c>
      <c r="O90" s="105"/>
      <c r="P90" s="107"/>
      <c r="Q90" s="108"/>
      <c r="R90" s="109"/>
      <c r="S90" s="47"/>
      <c r="U90" s="19"/>
      <c r="V90" s="19"/>
      <c r="W90" s="19"/>
      <c r="X90" s="19"/>
      <c r="Y90" s="19"/>
      <c r="Z90" s="19" t="str">
        <f t="shared" si="1"/>
        <v>YES</v>
      </c>
      <c r="AA90" s="19"/>
      <c r="AB90" s="19"/>
      <c r="AC90" s="19"/>
      <c r="AD90" s="19"/>
      <c r="AE90" s="19"/>
      <c r="AF90" s="19"/>
      <c r="AG90" s="19"/>
      <c r="AH90" s="19"/>
      <c r="AI90" s="19"/>
      <c r="AJ90" s="19"/>
      <c r="AK90" s="19"/>
    </row>
    <row r="91" spans="3:37" ht="39" customHeight="1" x14ac:dyDescent="0.35">
      <c r="C91" s="20" t="s">
        <v>255</v>
      </c>
      <c r="D91" s="103" t="s">
        <v>403</v>
      </c>
      <c r="E91" s="103"/>
      <c r="F91" s="103"/>
      <c r="G91" s="103"/>
      <c r="H91" s="103"/>
      <c r="I91" s="103"/>
      <c r="J91" s="103"/>
      <c r="K91" s="103"/>
      <c r="L91" s="103"/>
      <c r="M91" s="103"/>
      <c r="N91" s="104" t="s">
        <v>11</v>
      </c>
      <c r="O91" s="105"/>
      <c r="P91" s="107"/>
      <c r="Q91" s="108"/>
      <c r="R91" s="109"/>
      <c r="S91" s="42"/>
      <c r="U91" s="19"/>
      <c r="V91" s="19"/>
      <c r="W91" s="19"/>
      <c r="X91" s="19"/>
      <c r="Y91" s="19"/>
      <c r="Z91" s="19" t="str">
        <f t="shared" si="1"/>
        <v>YES</v>
      </c>
      <c r="AA91" s="19"/>
      <c r="AB91" s="19"/>
      <c r="AC91" s="19"/>
      <c r="AD91" s="19"/>
      <c r="AE91" s="19"/>
      <c r="AF91" s="19"/>
      <c r="AG91" s="19"/>
      <c r="AH91" s="19"/>
      <c r="AI91" s="19"/>
      <c r="AJ91" s="19"/>
      <c r="AK91" s="19"/>
    </row>
    <row r="92" spans="3:37" ht="44.5" customHeight="1" x14ac:dyDescent="0.35">
      <c r="C92" s="20">
        <v>2</v>
      </c>
      <c r="D92" s="173" t="s">
        <v>387</v>
      </c>
      <c r="E92" s="174"/>
      <c r="F92" s="174"/>
      <c r="G92" s="174"/>
      <c r="H92" s="174"/>
      <c r="I92" s="174"/>
      <c r="J92" s="174"/>
      <c r="K92" s="174"/>
      <c r="L92" s="174"/>
      <c r="M92" s="174"/>
      <c r="N92" s="175"/>
      <c r="O92" s="175"/>
      <c r="P92" s="175"/>
      <c r="Q92" s="175"/>
      <c r="R92" s="175"/>
      <c r="S92" s="68" t="str">
        <f>IF(COUNTA(N93:O99)=0,"",IF(COUNTIF(N93:O99,"No")&gt;=1,"NO",IF(COUNTIF(N93:O99,"SUBMITTED WITH OPEN DEFECTS")&gt;=1,"SUBMITTED WITH OPEN DEFECTS",IF(COUNTIF(N93:O99,"Yes")&gt;=1,"YES","NA"))))</f>
        <v>YES</v>
      </c>
      <c r="U92" s="19"/>
      <c r="V92" s="19"/>
      <c r="W92" s="19"/>
      <c r="X92" s="19"/>
      <c r="Y92" s="19"/>
      <c r="Z92" s="19" t="str">
        <f>N93</f>
        <v>YES</v>
      </c>
      <c r="AA92" s="19"/>
      <c r="AB92" s="19"/>
      <c r="AC92" s="19"/>
      <c r="AD92" s="19"/>
      <c r="AE92" s="19"/>
      <c r="AF92" s="19"/>
      <c r="AG92" s="19"/>
      <c r="AH92" s="19"/>
      <c r="AI92" s="19"/>
      <c r="AJ92" s="19"/>
      <c r="AK92" s="19"/>
    </row>
    <row r="93" spans="3:37" ht="64" customHeight="1" x14ac:dyDescent="0.35">
      <c r="C93" s="20" t="s">
        <v>198</v>
      </c>
      <c r="D93" s="171" t="s">
        <v>528</v>
      </c>
      <c r="E93" s="103"/>
      <c r="F93" s="103"/>
      <c r="G93" s="103"/>
      <c r="H93" s="103"/>
      <c r="I93" s="103"/>
      <c r="J93" s="103"/>
      <c r="K93" s="103"/>
      <c r="L93" s="103"/>
      <c r="M93" s="172"/>
      <c r="N93" s="104" t="s">
        <v>11</v>
      </c>
      <c r="O93" s="105"/>
      <c r="P93" s="107"/>
      <c r="Q93" s="108"/>
      <c r="R93" s="109"/>
      <c r="S93" s="49"/>
      <c r="U93" s="19"/>
      <c r="V93" s="19"/>
      <c r="W93" s="19"/>
      <c r="X93" s="19"/>
      <c r="Y93" s="19"/>
      <c r="Z93" s="19" t="str">
        <f>N94</f>
        <v>YES</v>
      </c>
      <c r="AA93" s="19"/>
      <c r="AB93" s="19"/>
      <c r="AC93" s="19"/>
      <c r="AD93" s="19"/>
      <c r="AE93" s="19"/>
      <c r="AF93" s="19"/>
      <c r="AG93" s="19"/>
      <c r="AH93" s="19"/>
      <c r="AI93" s="19"/>
      <c r="AJ93" s="19"/>
      <c r="AK93" s="19"/>
    </row>
    <row r="94" spans="3:37" ht="39" customHeight="1" x14ac:dyDescent="0.35">
      <c r="C94" s="20" t="s">
        <v>199</v>
      </c>
      <c r="D94" s="103" t="s">
        <v>256</v>
      </c>
      <c r="E94" s="103"/>
      <c r="F94" s="103"/>
      <c r="G94" s="103"/>
      <c r="H94" s="103"/>
      <c r="I94" s="103"/>
      <c r="J94" s="103"/>
      <c r="K94" s="103"/>
      <c r="L94" s="103"/>
      <c r="M94" s="103"/>
      <c r="N94" s="104" t="s">
        <v>11</v>
      </c>
      <c r="O94" s="105"/>
      <c r="P94" s="107"/>
      <c r="Q94" s="108"/>
      <c r="R94" s="109"/>
      <c r="S94" s="51"/>
      <c r="U94" s="19"/>
      <c r="V94" s="19"/>
      <c r="W94" s="19"/>
      <c r="X94" s="19"/>
      <c r="Y94" s="19"/>
      <c r="Z94" s="19" t="str">
        <f>N95</f>
        <v>YES</v>
      </c>
      <c r="AA94" s="19"/>
      <c r="AB94" s="19"/>
      <c r="AC94" s="19"/>
      <c r="AD94" s="19"/>
      <c r="AE94" s="19"/>
      <c r="AF94" s="19"/>
      <c r="AG94" s="19"/>
      <c r="AH94" s="19"/>
      <c r="AI94" s="19"/>
      <c r="AJ94" s="19"/>
      <c r="AK94" s="19"/>
    </row>
    <row r="95" spans="3:37" ht="39" customHeight="1" x14ac:dyDescent="0.35">
      <c r="C95" s="20" t="s">
        <v>257</v>
      </c>
      <c r="D95" s="103" t="s">
        <v>258</v>
      </c>
      <c r="E95" s="103"/>
      <c r="F95" s="103"/>
      <c r="G95" s="103"/>
      <c r="H95" s="103"/>
      <c r="I95" s="103"/>
      <c r="J95" s="103"/>
      <c r="K95" s="103"/>
      <c r="L95" s="103"/>
      <c r="M95" s="103"/>
      <c r="N95" s="104" t="s">
        <v>11</v>
      </c>
      <c r="O95" s="105"/>
      <c r="P95" s="107"/>
      <c r="Q95" s="108"/>
      <c r="R95" s="109"/>
      <c r="S95" s="50"/>
      <c r="U95" s="19"/>
      <c r="V95" s="19"/>
      <c r="W95" s="19"/>
      <c r="X95" s="19"/>
      <c r="Y95" s="19"/>
      <c r="Z95" s="19" t="str">
        <f t="shared" ref="Z95:Z100" si="2">N97</f>
        <v>YES</v>
      </c>
      <c r="AA95" s="19"/>
      <c r="AB95" s="19"/>
      <c r="AC95" s="19"/>
      <c r="AD95" s="19"/>
      <c r="AE95" s="19"/>
      <c r="AF95" s="19"/>
      <c r="AG95" s="19"/>
      <c r="AH95" s="19"/>
      <c r="AI95" s="19"/>
      <c r="AJ95" s="19"/>
      <c r="AK95" s="19"/>
    </row>
    <row r="96" spans="3:37" ht="44.5" customHeight="1" x14ac:dyDescent="0.35">
      <c r="C96" s="20">
        <v>3</v>
      </c>
      <c r="D96" s="163" t="s">
        <v>259</v>
      </c>
      <c r="E96" s="164"/>
      <c r="F96" s="164"/>
      <c r="G96" s="164"/>
      <c r="H96" s="164"/>
      <c r="I96" s="164"/>
      <c r="J96" s="164"/>
      <c r="K96" s="164"/>
      <c r="L96" s="164"/>
      <c r="M96" s="164"/>
      <c r="N96" s="165"/>
      <c r="O96" s="165"/>
      <c r="P96" s="165"/>
      <c r="Q96" s="165"/>
      <c r="R96" s="165"/>
      <c r="S96" s="68" t="str">
        <f>IF(COUNTA(N97:O103)=0,"",IF(COUNTIF(N97:O103,"No")&gt;=1,"NO",IF(COUNTIF(N97:O103,"SUBMITTED WITH OPEN DEFECTS")&gt;=1,"SUBMITTED WITH OPEN DEFECTS",IF(COUNTIF(N97:O103,"Yes")&gt;=1,"YES","NA"))))</f>
        <v>YES</v>
      </c>
      <c r="U96" s="19"/>
      <c r="V96" s="19"/>
      <c r="W96" s="19"/>
      <c r="X96" s="19"/>
      <c r="Y96" s="19"/>
      <c r="Z96" s="19" t="str">
        <f t="shared" si="2"/>
        <v>YES</v>
      </c>
      <c r="AA96" s="19"/>
      <c r="AB96" s="19"/>
      <c r="AC96" s="19"/>
      <c r="AD96" s="19"/>
      <c r="AE96" s="19"/>
      <c r="AF96" s="19"/>
      <c r="AG96" s="19"/>
      <c r="AH96" s="19"/>
      <c r="AI96" s="19"/>
      <c r="AJ96" s="19"/>
      <c r="AK96" s="19"/>
    </row>
    <row r="97" spans="3:37" ht="30.5" customHeight="1" x14ac:dyDescent="0.35">
      <c r="C97" s="20" t="s">
        <v>200</v>
      </c>
      <c r="D97" s="103" t="s">
        <v>260</v>
      </c>
      <c r="E97" s="103"/>
      <c r="F97" s="103"/>
      <c r="G97" s="103"/>
      <c r="H97" s="103"/>
      <c r="I97" s="103"/>
      <c r="J97" s="103"/>
      <c r="K97" s="103"/>
      <c r="L97" s="103"/>
      <c r="M97" s="103"/>
      <c r="N97" s="104" t="s">
        <v>11</v>
      </c>
      <c r="O97" s="105"/>
      <c r="P97" s="107"/>
      <c r="Q97" s="108"/>
      <c r="R97" s="109"/>
      <c r="S97" s="53"/>
      <c r="U97" s="19"/>
      <c r="V97" s="19"/>
      <c r="W97" s="19"/>
      <c r="X97" s="19"/>
      <c r="Y97" s="19"/>
      <c r="Z97" s="19" t="str">
        <f t="shared" si="2"/>
        <v>YES</v>
      </c>
      <c r="AA97" s="19"/>
      <c r="AB97" s="19"/>
      <c r="AC97" s="19"/>
      <c r="AD97" s="19"/>
      <c r="AE97" s="19"/>
      <c r="AF97" s="19"/>
      <c r="AG97" s="19"/>
      <c r="AH97" s="19"/>
      <c r="AI97" s="19"/>
      <c r="AJ97" s="19"/>
      <c r="AK97" s="19"/>
    </row>
    <row r="98" spans="3:37" ht="34.5" customHeight="1" x14ac:dyDescent="0.35">
      <c r="C98" s="20" t="s">
        <v>224</v>
      </c>
      <c r="D98" s="102" t="s">
        <v>261</v>
      </c>
      <c r="E98" s="102"/>
      <c r="F98" s="102"/>
      <c r="G98" s="102"/>
      <c r="H98" s="102"/>
      <c r="I98" s="102"/>
      <c r="J98" s="102"/>
      <c r="K98" s="102"/>
      <c r="L98" s="102"/>
      <c r="M98" s="102"/>
      <c r="N98" s="104" t="s">
        <v>11</v>
      </c>
      <c r="O98" s="105"/>
      <c r="P98" s="107"/>
      <c r="Q98" s="108"/>
      <c r="R98" s="109"/>
      <c r="S98" s="55"/>
      <c r="U98" s="19"/>
      <c r="V98" s="19"/>
      <c r="W98" s="19"/>
      <c r="X98" s="19"/>
      <c r="Y98" s="19"/>
      <c r="Z98" s="19" t="str">
        <f t="shared" si="2"/>
        <v>YES</v>
      </c>
      <c r="AA98" s="19"/>
      <c r="AB98" s="19"/>
      <c r="AC98" s="19"/>
      <c r="AD98" s="19"/>
      <c r="AE98" s="19"/>
      <c r="AF98" s="19"/>
      <c r="AG98" s="19"/>
      <c r="AH98" s="19"/>
      <c r="AI98" s="19"/>
      <c r="AJ98" s="19"/>
      <c r="AK98" s="19"/>
    </row>
    <row r="99" spans="3:37" ht="31" customHeight="1" x14ac:dyDescent="0.35">
      <c r="C99" s="20" t="s">
        <v>262</v>
      </c>
      <c r="D99" s="169" t="s">
        <v>263</v>
      </c>
      <c r="E99" s="169"/>
      <c r="F99" s="169"/>
      <c r="G99" s="169"/>
      <c r="H99" s="169"/>
      <c r="I99" s="169"/>
      <c r="J99" s="169"/>
      <c r="K99" s="169"/>
      <c r="L99" s="169"/>
      <c r="M99" s="169"/>
      <c r="N99" s="104" t="s">
        <v>11</v>
      </c>
      <c r="O99" s="105"/>
      <c r="P99" s="107"/>
      <c r="Q99" s="108"/>
      <c r="R99" s="109"/>
      <c r="S99" s="56"/>
      <c r="U99" s="19"/>
      <c r="V99" s="19"/>
      <c r="W99" s="19"/>
      <c r="X99" s="19"/>
      <c r="Y99" s="19"/>
      <c r="Z99" s="19" t="str">
        <f t="shared" si="2"/>
        <v>YES</v>
      </c>
      <c r="AA99" s="19"/>
      <c r="AB99" s="19"/>
      <c r="AC99" s="19"/>
      <c r="AD99" s="19"/>
      <c r="AE99" s="19"/>
      <c r="AF99" s="19"/>
      <c r="AG99" s="19"/>
      <c r="AH99" s="19"/>
      <c r="AI99" s="19"/>
      <c r="AJ99" s="19"/>
      <c r="AK99" s="19"/>
    </row>
    <row r="100" spans="3:37" ht="32" customHeight="1" x14ac:dyDescent="0.35">
      <c r="C100" s="20" t="s">
        <v>264</v>
      </c>
      <c r="D100" s="102" t="s">
        <v>265</v>
      </c>
      <c r="E100" s="102"/>
      <c r="F100" s="102"/>
      <c r="G100" s="102"/>
      <c r="H100" s="102"/>
      <c r="I100" s="102"/>
      <c r="J100" s="102"/>
      <c r="K100" s="102"/>
      <c r="L100" s="102"/>
      <c r="M100" s="102"/>
      <c r="N100" s="104" t="s">
        <v>11</v>
      </c>
      <c r="O100" s="105"/>
      <c r="P100" s="107"/>
      <c r="Q100" s="108"/>
      <c r="R100" s="109"/>
      <c r="S100" s="55"/>
      <c r="U100" s="19"/>
      <c r="V100" s="19"/>
      <c r="W100" s="19"/>
      <c r="X100" s="19"/>
      <c r="Y100" s="19"/>
      <c r="Z100" s="19" t="str">
        <f t="shared" si="2"/>
        <v>YES</v>
      </c>
      <c r="AA100" s="19"/>
      <c r="AB100" s="19"/>
      <c r="AC100" s="19"/>
      <c r="AD100" s="19"/>
      <c r="AE100" s="19"/>
      <c r="AF100" s="19"/>
      <c r="AG100" s="19"/>
      <c r="AH100" s="19"/>
      <c r="AI100" s="19"/>
      <c r="AJ100" s="19"/>
      <c r="AK100" s="19"/>
    </row>
    <row r="101" spans="3:37" ht="32" customHeight="1" x14ac:dyDescent="0.35">
      <c r="C101" s="20" t="s">
        <v>266</v>
      </c>
      <c r="D101" s="102" t="s">
        <v>267</v>
      </c>
      <c r="E101" s="102"/>
      <c r="F101" s="102"/>
      <c r="G101" s="102"/>
      <c r="H101" s="102"/>
      <c r="I101" s="102"/>
      <c r="J101" s="102"/>
      <c r="K101" s="102"/>
      <c r="L101" s="102"/>
      <c r="M101" s="102"/>
      <c r="N101" s="104" t="s">
        <v>11</v>
      </c>
      <c r="O101" s="105"/>
      <c r="P101" s="107"/>
      <c r="Q101" s="108"/>
      <c r="R101" s="109"/>
      <c r="S101" s="55"/>
      <c r="U101" s="19"/>
      <c r="V101" s="19"/>
      <c r="W101" s="19"/>
      <c r="X101" s="19"/>
      <c r="Y101" s="19"/>
      <c r="Z101" s="19" t="str">
        <f t="shared" ref="Z101:Z107" si="3">N104</f>
        <v>YES</v>
      </c>
      <c r="AA101" s="19"/>
      <c r="AB101" s="19"/>
      <c r="AC101" s="19"/>
      <c r="AD101" s="19"/>
      <c r="AE101" s="19"/>
      <c r="AF101" s="19"/>
      <c r="AG101" s="19"/>
      <c r="AH101" s="19"/>
      <c r="AI101" s="19"/>
      <c r="AJ101" s="19"/>
      <c r="AK101" s="19"/>
    </row>
    <row r="102" spans="3:37" ht="33.5" customHeight="1" x14ac:dyDescent="0.35">
      <c r="C102" s="20" t="s">
        <v>268</v>
      </c>
      <c r="D102" s="102" t="s">
        <v>269</v>
      </c>
      <c r="E102" s="102"/>
      <c r="F102" s="102"/>
      <c r="G102" s="102"/>
      <c r="H102" s="102"/>
      <c r="I102" s="102"/>
      <c r="J102" s="102"/>
      <c r="K102" s="102"/>
      <c r="L102" s="102"/>
      <c r="M102" s="102"/>
      <c r="N102" s="104" t="s">
        <v>11</v>
      </c>
      <c r="O102" s="105"/>
      <c r="P102" s="107"/>
      <c r="Q102" s="108"/>
      <c r="R102" s="109"/>
      <c r="S102" s="52"/>
      <c r="U102" s="19"/>
      <c r="V102" s="19"/>
      <c r="W102" s="19"/>
      <c r="X102" s="19"/>
      <c r="Y102" s="19"/>
      <c r="Z102" s="19" t="str">
        <f t="shared" si="3"/>
        <v>YES</v>
      </c>
      <c r="AA102" s="19"/>
      <c r="AB102" s="19"/>
      <c r="AC102" s="19"/>
      <c r="AD102" s="19"/>
      <c r="AE102" s="19"/>
      <c r="AF102" s="19"/>
      <c r="AG102" s="19"/>
      <c r="AH102" s="19"/>
      <c r="AI102" s="19"/>
      <c r="AJ102" s="19"/>
      <c r="AK102" s="19"/>
    </row>
    <row r="103" spans="3:37" ht="44.5" customHeight="1" x14ac:dyDescent="0.35">
      <c r="C103" s="20">
        <v>4</v>
      </c>
      <c r="D103" s="98" t="s">
        <v>270</v>
      </c>
      <c r="E103" s="99"/>
      <c r="F103" s="99"/>
      <c r="G103" s="99"/>
      <c r="H103" s="99"/>
      <c r="I103" s="99"/>
      <c r="J103" s="99"/>
      <c r="K103" s="99"/>
      <c r="L103" s="99"/>
      <c r="M103" s="99"/>
      <c r="N103" s="101"/>
      <c r="O103" s="101"/>
      <c r="P103" s="101"/>
      <c r="Q103" s="101"/>
      <c r="R103" s="101"/>
      <c r="S103" s="68" t="str">
        <f>IF(COUNTA(N104:O110)=0,"",IF(COUNTIF(N104:O110,"No")&gt;=1,"NO",IF(COUNTIF(N104:O110,"SUBMITTED WITH OPEN DEFECTS")&gt;=1,"SUBMITTED WITH OPEN DEFECTS",IF(COUNTIF(N104:O110,"Yes")&gt;=1,"YES","NA"))))</f>
        <v>YES</v>
      </c>
      <c r="U103" s="19"/>
      <c r="V103" s="19"/>
      <c r="W103" s="19"/>
      <c r="X103" s="19"/>
      <c r="Y103" s="19"/>
      <c r="Z103" s="19" t="str">
        <f t="shared" si="3"/>
        <v>YES</v>
      </c>
      <c r="AA103" s="19"/>
      <c r="AB103" s="19"/>
      <c r="AC103" s="19"/>
      <c r="AD103" s="19"/>
      <c r="AE103" s="19"/>
      <c r="AF103" s="19"/>
      <c r="AG103" s="19"/>
      <c r="AH103" s="19"/>
      <c r="AI103" s="19"/>
      <c r="AJ103" s="19"/>
      <c r="AK103" s="19"/>
    </row>
    <row r="104" spans="3:37" ht="39" customHeight="1" x14ac:dyDescent="0.35">
      <c r="C104" s="20" t="s">
        <v>202</v>
      </c>
      <c r="D104" s="102" t="s">
        <v>271</v>
      </c>
      <c r="E104" s="102"/>
      <c r="F104" s="102"/>
      <c r="G104" s="102"/>
      <c r="H104" s="102"/>
      <c r="I104" s="102"/>
      <c r="J104" s="102"/>
      <c r="K104" s="102"/>
      <c r="L104" s="102"/>
      <c r="M104" s="102"/>
      <c r="N104" s="104" t="s">
        <v>11</v>
      </c>
      <c r="O104" s="105"/>
      <c r="P104" s="107"/>
      <c r="Q104" s="108"/>
      <c r="R104" s="109"/>
      <c r="S104" s="57"/>
      <c r="U104" s="19"/>
      <c r="V104" s="19"/>
      <c r="W104" s="19"/>
      <c r="X104" s="19"/>
      <c r="Y104" s="19"/>
      <c r="Z104" s="19" t="str">
        <f t="shared" si="3"/>
        <v>YES</v>
      </c>
      <c r="AA104" s="19"/>
      <c r="AB104" s="19"/>
      <c r="AC104" s="19"/>
      <c r="AD104" s="19"/>
      <c r="AE104" s="19"/>
      <c r="AF104" s="19"/>
      <c r="AG104" s="19"/>
      <c r="AH104" s="19"/>
      <c r="AI104" s="19"/>
      <c r="AJ104" s="19"/>
      <c r="AK104" s="19"/>
    </row>
    <row r="105" spans="3:37" ht="52" customHeight="1" x14ac:dyDescent="0.35">
      <c r="C105" s="20" t="s">
        <v>272</v>
      </c>
      <c r="D105" s="167" t="s">
        <v>537</v>
      </c>
      <c r="E105" s="167"/>
      <c r="F105" s="167"/>
      <c r="G105" s="167"/>
      <c r="H105" s="167"/>
      <c r="I105" s="167"/>
      <c r="J105" s="167"/>
      <c r="K105" s="167"/>
      <c r="L105" s="167"/>
      <c r="M105" s="167"/>
      <c r="N105" s="104" t="s">
        <v>11</v>
      </c>
      <c r="O105" s="105"/>
      <c r="P105" s="107"/>
      <c r="Q105" s="108"/>
      <c r="R105" s="109"/>
      <c r="S105" s="56"/>
      <c r="U105" s="19"/>
      <c r="V105" s="19"/>
      <c r="W105" s="19"/>
      <c r="X105" s="19"/>
      <c r="Y105" s="19"/>
      <c r="Z105" s="19" t="str">
        <f t="shared" si="3"/>
        <v>YES</v>
      </c>
      <c r="AA105" s="19"/>
      <c r="AB105" s="19"/>
      <c r="AC105" s="19"/>
      <c r="AD105" s="19"/>
      <c r="AE105" s="19"/>
      <c r="AF105" s="19"/>
      <c r="AG105" s="19"/>
      <c r="AH105" s="19"/>
      <c r="AI105" s="19"/>
      <c r="AJ105" s="19"/>
      <c r="AK105" s="19"/>
    </row>
    <row r="106" spans="3:37" ht="39" customHeight="1" x14ac:dyDescent="0.35">
      <c r="C106" s="20" t="s">
        <v>274</v>
      </c>
      <c r="D106" s="167" t="s">
        <v>275</v>
      </c>
      <c r="E106" s="167"/>
      <c r="F106" s="167"/>
      <c r="G106" s="167"/>
      <c r="H106" s="167"/>
      <c r="I106" s="167"/>
      <c r="J106" s="167"/>
      <c r="K106" s="167"/>
      <c r="L106" s="167"/>
      <c r="M106" s="167"/>
      <c r="N106" s="104" t="s">
        <v>11</v>
      </c>
      <c r="O106" s="105"/>
      <c r="P106" s="107"/>
      <c r="Q106" s="108"/>
      <c r="R106" s="109"/>
      <c r="S106" s="14"/>
      <c r="U106" s="19"/>
      <c r="V106" s="19"/>
      <c r="W106" s="19"/>
      <c r="X106" s="19"/>
      <c r="Y106" s="19"/>
      <c r="Z106" s="19" t="str">
        <f t="shared" si="3"/>
        <v>YES</v>
      </c>
      <c r="AA106" s="19"/>
      <c r="AB106" s="19"/>
      <c r="AC106" s="19"/>
      <c r="AD106" s="19"/>
      <c r="AE106" s="19"/>
      <c r="AF106" s="19"/>
      <c r="AG106" s="19"/>
      <c r="AH106" s="19"/>
      <c r="AI106" s="19"/>
      <c r="AJ106" s="19"/>
      <c r="AK106" s="19"/>
    </row>
    <row r="107" spans="3:37" ht="39" customHeight="1" x14ac:dyDescent="0.35">
      <c r="C107" s="20" t="s">
        <v>276</v>
      </c>
      <c r="D107" s="167" t="s">
        <v>277</v>
      </c>
      <c r="E107" s="167"/>
      <c r="F107" s="167"/>
      <c r="G107" s="167"/>
      <c r="H107" s="167"/>
      <c r="I107" s="167"/>
      <c r="J107" s="167"/>
      <c r="K107" s="167"/>
      <c r="L107" s="167"/>
      <c r="M107" s="167"/>
      <c r="N107" s="104" t="s">
        <v>11</v>
      </c>
      <c r="O107" s="105"/>
      <c r="P107" s="107"/>
      <c r="Q107" s="108"/>
      <c r="R107" s="109"/>
      <c r="S107" s="59"/>
      <c r="U107" s="19"/>
      <c r="V107" s="19"/>
      <c r="W107" s="19"/>
      <c r="X107" s="19"/>
      <c r="Y107" s="19"/>
      <c r="Z107" s="19" t="str">
        <f t="shared" si="3"/>
        <v>YES</v>
      </c>
      <c r="AA107" s="19"/>
      <c r="AB107" s="19"/>
      <c r="AC107" s="19"/>
      <c r="AD107" s="19"/>
      <c r="AE107" s="19"/>
      <c r="AF107" s="19"/>
      <c r="AG107" s="19"/>
      <c r="AH107" s="19"/>
      <c r="AI107" s="19"/>
      <c r="AJ107" s="19"/>
      <c r="AK107" s="19"/>
    </row>
    <row r="108" spans="3:37" ht="35" customHeight="1" x14ac:dyDescent="0.35">
      <c r="C108" s="20" t="s">
        <v>278</v>
      </c>
      <c r="D108" s="167" t="s">
        <v>279</v>
      </c>
      <c r="E108" s="167"/>
      <c r="F108" s="167"/>
      <c r="G108" s="167"/>
      <c r="H108" s="167"/>
      <c r="I108" s="167"/>
      <c r="J108" s="167"/>
      <c r="K108" s="167"/>
      <c r="L108" s="167"/>
      <c r="M108" s="167"/>
      <c r="N108" s="104" t="s">
        <v>11</v>
      </c>
      <c r="O108" s="105"/>
      <c r="P108" s="107"/>
      <c r="Q108" s="108"/>
      <c r="R108" s="109"/>
      <c r="S108" s="59"/>
      <c r="U108" s="19"/>
      <c r="V108" s="19"/>
      <c r="W108" s="19"/>
      <c r="X108" s="19"/>
      <c r="Y108" s="19"/>
      <c r="Z108" s="19" t="str">
        <f>N112</f>
        <v>YES</v>
      </c>
      <c r="AA108" s="19"/>
      <c r="AB108" s="19"/>
      <c r="AC108" s="19"/>
      <c r="AD108" s="19"/>
      <c r="AE108" s="19"/>
      <c r="AF108" s="19"/>
      <c r="AG108" s="19"/>
      <c r="AH108" s="19"/>
      <c r="AI108" s="19"/>
      <c r="AJ108" s="19"/>
      <c r="AK108" s="19"/>
    </row>
    <row r="109" spans="3:37" ht="60" customHeight="1" x14ac:dyDescent="0.35">
      <c r="C109" s="20" t="s">
        <v>280</v>
      </c>
      <c r="D109" s="103" t="s">
        <v>535</v>
      </c>
      <c r="E109" s="103"/>
      <c r="F109" s="103"/>
      <c r="G109" s="103"/>
      <c r="H109" s="103"/>
      <c r="I109" s="103"/>
      <c r="J109" s="103"/>
      <c r="K109" s="103"/>
      <c r="L109" s="103"/>
      <c r="M109" s="103"/>
      <c r="N109" s="104" t="s">
        <v>11</v>
      </c>
      <c r="O109" s="105"/>
      <c r="P109" s="107"/>
      <c r="Q109" s="108"/>
      <c r="R109" s="109"/>
      <c r="S109" s="14"/>
      <c r="U109" s="19"/>
      <c r="V109" s="19"/>
      <c r="W109" s="19"/>
      <c r="X109" s="19"/>
      <c r="Y109" s="19"/>
      <c r="Z109" s="19" t="str">
        <f>N113</f>
        <v>YES</v>
      </c>
      <c r="AA109" s="19"/>
      <c r="AB109" s="19"/>
      <c r="AC109" s="19"/>
      <c r="AD109" s="19"/>
      <c r="AE109" s="19"/>
      <c r="AF109" s="19"/>
      <c r="AG109" s="19"/>
      <c r="AH109" s="19"/>
      <c r="AI109" s="19"/>
      <c r="AJ109" s="19"/>
      <c r="AK109" s="19"/>
    </row>
    <row r="110" spans="3:37" ht="39" customHeight="1" x14ac:dyDescent="0.35">
      <c r="C110" s="20" t="s">
        <v>282</v>
      </c>
      <c r="D110" s="168" t="s">
        <v>283</v>
      </c>
      <c r="E110" s="168"/>
      <c r="F110" s="168"/>
      <c r="G110" s="168"/>
      <c r="H110" s="168"/>
      <c r="I110" s="168"/>
      <c r="J110" s="168"/>
      <c r="K110" s="168"/>
      <c r="L110" s="168"/>
      <c r="M110" s="168"/>
      <c r="N110" s="104" t="s">
        <v>11</v>
      </c>
      <c r="O110" s="105"/>
      <c r="P110" s="107"/>
      <c r="Q110" s="108"/>
      <c r="R110" s="109"/>
      <c r="S110" s="60"/>
      <c r="U110" s="19"/>
      <c r="V110" s="19"/>
      <c r="W110" s="19"/>
      <c r="X110" s="19"/>
      <c r="Y110" s="19"/>
      <c r="Z110" s="19" t="str">
        <f>N114</f>
        <v>YES</v>
      </c>
      <c r="AA110" s="19"/>
      <c r="AB110" s="19"/>
      <c r="AC110" s="19"/>
      <c r="AD110" s="19"/>
      <c r="AE110" s="19"/>
      <c r="AF110" s="19"/>
      <c r="AG110" s="19"/>
      <c r="AH110" s="19"/>
      <c r="AI110" s="19"/>
      <c r="AJ110" s="19"/>
      <c r="AK110" s="19"/>
    </row>
    <row r="111" spans="3:37" ht="44.5" customHeight="1" x14ac:dyDescent="0.35">
      <c r="C111" s="20">
        <v>5</v>
      </c>
      <c r="D111" s="163" t="s">
        <v>284</v>
      </c>
      <c r="E111" s="164"/>
      <c r="F111" s="164"/>
      <c r="G111" s="164"/>
      <c r="H111" s="164"/>
      <c r="I111" s="164"/>
      <c r="J111" s="164"/>
      <c r="K111" s="164"/>
      <c r="L111" s="164"/>
      <c r="M111" s="164"/>
      <c r="N111" s="165"/>
      <c r="O111" s="165"/>
      <c r="P111" s="165"/>
      <c r="Q111" s="165"/>
      <c r="R111" s="165"/>
      <c r="S111" s="68" t="str">
        <f>IF(COUNTA(N112:O118)=0,"",IF(COUNTIF(N112:O118,"No")&gt;=1,"NO",IF(COUNTIF(N112:O118,"SUBMITTED WITH OPEN DEFECTS")&gt;=1,"SUBMITTED WITH OPEN DEFECTS",IF(COUNTIF(N112:O118,"Yes")&gt;=1,"YES","NA"))))</f>
        <v>YES</v>
      </c>
      <c r="U111" s="19"/>
      <c r="V111" s="19"/>
      <c r="W111" s="19"/>
      <c r="X111" s="19"/>
      <c r="Y111" s="19"/>
      <c r="Z111" s="19" t="str">
        <f>N115</f>
        <v>YES</v>
      </c>
      <c r="AA111" s="19"/>
      <c r="AB111" s="19"/>
      <c r="AC111" s="19"/>
      <c r="AD111" s="19"/>
      <c r="AE111" s="19"/>
      <c r="AF111" s="19"/>
      <c r="AG111" s="19"/>
      <c r="AH111" s="19"/>
      <c r="AI111" s="19"/>
      <c r="AJ111" s="19"/>
      <c r="AK111" s="19"/>
    </row>
    <row r="112" spans="3:37" ht="53.5" customHeight="1" x14ac:dyDescent="0.35">
      <c r="C112" s="20" t="s">
        <v>204</v>
      </c>
      <c r="D112" s="103" t="s">
        <v>285</v>
      </c>
      <c r="E112" s="103"/>
      <c r="F112" s="103"/>
      <c r="G112" s="103"/>
      <c r="H112" s="103"/>
      <c r="I112" s="103"/>
      <c r="J112" s="103"/>
      <c r="K112" s="103"/>
      <c r="L112" s="103"/>
      <c r="M112" s="103"/>
      <c r="N112" s="104" t="s">
        <v>11</v>
      </c>
      <c r="O112" s="105"/>
      <c r="P112" s="107"/>
      <c r="Q112" s="108"/>
      <c r="R112" s="109"/>
      <c r="S112" s="61"/>
      <c r="U112" s="19"/>
      <c r="V112" s="19"/>
      <c r="W112" s="19"/>
      <c r="X112" s="19"/>
      <c r="Y112" s="19"/>
      <c r="Z112" s="19" t="str">
        <f>N117</f>
        <v>YES</v>
      </c>
      <c r="AA112" s="19"/>
      <c r="AB112" s="19"/>
      <c r="AC112" s="19"/>
      <c r="AD112" s="19"/>
      <c r="AE112" s="19"/>
      <c r="AF112" s="19"/>
      <c r="AG112" s="19"/>
      <c r="AH112" s="19"/>
      <c r="AI112" s="19"/>
      <c r="AJ112" s="19"/>
      <c r="AK112" s="19"/>
    </row>
    <row r="113" spans="3:37" ht="39" customHeight="1" x14ac:dyDescent="0.35">
      <c r="C113" s="20" t="s">
        <v>225</v>
      </c>
      <c r="D113" s="103" t="s">
        <v>286</v>
      </c>
      <c r="E113" s="103"/>
      <c r="F113" s="103"/>
      <c r="G113" s="103"/>
      <c r="H113" s="103"/>
      <c r="I113" s="103"/>
      <c r="J113" s="103"/>
      <c r="K113" s="103"/>
      <c r="L113" s="103"/>
      <c r="M113" s="103"/>
      <c r="N113" s="104" t="s">
        <v>11</v>
      </c>
      <c r="O113" s="105"/>
      <c r="P113" s="107"/>
      <c r="Q113" s="108"/>
      <c r="R113" s="109"/>
      <c r="S113" s="55"/>
      <c r="U113" s="19"/>
      <c r="V113" s="19"/>
      <c r="W113" s="19"/>
      <c r="X113" s="19"/>
      <c r="Y113" s="19"/>
      <c r="Z113" s="19" t="str">
        <f>N118</f>
        <v>YES</v>
      </c>
      <c r="AA113" s="19"/>
      <c r="AB113" s="19"/>
      <c r="AC113" s="19"/>
      <c r="AD113" s="19"/>
      <c r="AE113" s="19"/>
      <c r="AF113" s="19"/>
      <c r="AG113" s="19"/>
      <c r="AH113" s="19"/>
      <c r="AI113" s="19"/>
      <c r="AJ113" s="19"/>
      <c r="AK113" s="19"/>
    </row>
    <row r="114" spans="3:37" ht="39" customHeight="1" x14ac:dyDescent="0.35">
      <c r="C114" s="20" t="s">
        <v>226</v>
      </c>
      <c r="D114" s="103" t="s">
        <v>287</v>
      </c>
      <c r="E114" s="103"/>
      <c r="F114" s="103"/>
      <c r="G114" s="103"/>
      <c r="H114" s="103"/>
      <c r="I114" s="103"/>
      <c r="J114" s="103"/>
      <c r="K114" s="103"/>
      <c r="L114" s="103"/>
      <c r="M114" s="103"/>
      <c r="N114" s="104" t="s">
        <v>11</v>
      </c>
      <c r="O114" s="105"/>
      <c r="P114" s="107"/>
      <c r="Q114" s="108"/>
      <c r="R114" s="109"/>
      <c r="S114" s="55"/>
      <c r="U114" s="19"/>
      <c r="V114" s="19"/>
      <c r="W114" s="19"/>
      <c r="X114" s="19"/>
      <c r="Y114" s="19"/>
      <c r="Z114" s="19" t="str">
        <f>N119</f>
        <v>YES</v>
      </c>
      <c r="AA114" s="19"/>
      <c r="AB114" s="19"/>
      <c r="AC114" s="19"/>
      <c r="AD114" s="19"/>
      <c r="AE114" s="19"/>
      <c r="AF114" s="19"/>
      <c r="AG114" s="19"/>
      <c r="AH114" s="19"/>
      <c r="AI114" s="19"/>
      <c r="AJ114" s="19"/>
      <c r="AK114" s="19"/>
    </row>
    <row r="115" spans="3:37" ht="48.5" customHeight="1" x14ac:dyDescent="0.35">
      <c r="C115" s="20" t="s">
        <v>288</v>
      </c>
      <c r="D115" s="167" t="s">
        <v>289</v>
      </c>
      <c r="E115" s="167"/>
      <c r="F115" s="167"/>
      <c r="G115" s="167"/>
      <c r="H115" s="167"/>
      <c r="I115" s="167"/>
      <c r="J115" s="167"/>
      <c r="K115" s="167"/>
      <c r="L115" s="167"/>
      <c r="M115" s="167"/>
      <c r="N115" s="104" t="s">
        <v>11</v>
      </c>
      <c r="O115" s="105"/>
      <c r="P115" s="107"/>
      <c r="Q115" s="108"/>
      <c r="R115" s="109"/>
      <c r="S115" s="62"/>
      <c r="U115" s="19"/>
      <c r="V115" s="19"/>
      <c r="W115" s="19"/>
      <c r="X115" s="19"/>
      <c r="Y115" s="19"/>
      <c r="Z115" s="19" t="str">
        <f>N120</f>
        <v>YES</v>
      </c>
      <c r="AA115" s="19"/>
      <c r="AB115" s="19"/>
      <c r="AC115" s="19"/>
      <c r="AD115" s="19"/>
      <c r="AE115" s="19"/>
      <c r="AF115" s="19"/>
      <c r="AG115" s="19"/>
      <c r="AH115" s="19"/>
      <c r="AI115" s="19"/>
      <c r="AJ115" s="19"/>
      <c r="AK115" s="19"/>
    </row>
    <row r="116" spans="3:37" ht="44.5" customHeight="1" x14ac:dyDescent="0.35">
      <c r="C116" s="20">
        <v>6</v>
      </c>
      <c r="D116" s="98" t="s">
        <v>290</v>
      </c>
      <c r="E116" s="99"/>
      <c r="F116" s="99"/>
      <c r="G116" s="99"/>
      <c r="H116" s="99"/>
      <c r="I116" s="99"/>
      <c r="J116" s="99"/>
      <c r="K116" s="99"/>
      <c r="L116" s="99"/>
      <c r="M116" s="99"/>
      <c r="N116" s="101"/>
      <c r="O116" s="101"/>
      <c r="P116" s="101"/>
      <c r="Q116" s="101"/>
      <c r="R116" s="101"/>
      <c r="S116" s="68" t="str">
        <f>IF(COUNTA(N117:O123)=0,"",IF(COUNTIF(N117:O123,"No")&gt;=1,"NO",IF(COUNTIF(N117:O123,"SUBMITTED WITH OPEN DEFECTS")&gt;=1,"SUBMITTED WITH OPEN DEFECTS",IF(COUNTIF(N117:O123,"Yes")&gt;=1,"YES","NA"))))</f>
        <v>YES</v>
      </c>
      <c r="U116" s="19"/>
      <c r="V116" s="19"/>
      <c r="W116" s="19"/>
      <c r="X116" s="19"/>
      <c r="Y116" s="19"/>
      <c r="Z116" s="19" t="str">
        <f>N122</f>
        <v>YES</v>
      </c>
      <c r="AA116" s="19"/>
      <c r="AB116" s="19"/>
      <c r="AC116" s="19"/>
      <c r="AD116" s="19"/>
      <c r="AE116" s="19"/>
      <c r="AF116" s="19"/>
      <c r="AG116" s="19"/>
      <c r="AH116" s="19"/>
      <c r="AI116" s="19"/>
      <c r="AJ116" s="19"/>
      <c r="AK116" s="19"/>
    </row>
    <row r="117" spans="3:37" ht="39" customHeight="1" x14ac:dyDescent="0.35">
      <c r="C117" s="20" t="s">
        <v>205</v>
      </c>
      <c r="D117" s="167" t="s">
        <v>291</v>
      </c>
      <c r="E117" s="167"/>
      <c r="F117" s="167"/>
      <c r="G117" s="167"/>
      <c r="H117" s="167"/>
      <c r="I117" s="167"/>
      <c r="J117" s="167"/>
      <c r="K117" s="167"/>
      <c r="L117" s="167"/>
      <c r="M117" s="167"/>
      <c r="N117" s="104" t="s">
        <v>11</v>
      </c>
      <c r="O117" s="105"/>
      <c r="P117" s="107"/>
      <c r="Q117" s="108"/>
      <c r="R117" s="109"/>
      <c r="S117" s="63"/>
      <c r="U117" s="19"/>
      <c r="V117" s="19"/>
      <c r="W117" s="19"/>
      <c r="X117" s="19"/>
      <c r="Y117" s="19"/>
      <c r="Z117" s="19" t="str">
        <f>N123</f>
        <v>YES</v>
      </c>
      <c r="AA117" s="19"/>
      <c r="AB117" s="19"/>
      <c r="AC117" s="19"/>
      <c r="AD117" s="19"/>
      <c r="AE117" s="19"/>
      <c r="AF117" s="19"/>
      <c r="AG117" s="19"/>
      <c r="AH117" s="19"/>
      <c r="AI117" s="19"/>
      <c r="AJ117" s="19"/>
      <c r="AK117" s="19"/>
    </row>
    <row r="118" spans="3:37" ht="39" customHeight="1" x14ac:dyDescent="0.35">
      <c r="C118" s="20" t="s">
        <v>207</v>
      </c>
      <c r="D118" s="167" t="s">
        <v>292</v>
      </c>
      <c r="E118" s="167"/>
      <c r="F118" s="167"/>
      <c r="G118" s="167"/>
      <c r="H118" s="167"/>
      <c r="I118" s="167"/>
      <c r="J118" s="167"/>
      <c r="K118" s="167"/>
      <c r="L118" s="167"/>
      <c r="M118" s="167"/>
      <c r="N118" s="104" t="s">
        <v>11</v>
      </c>
      <c r="O118" s="105"/>
      <c r="P118" s="107"/>
      <c r="Q118" s="108"/>
      <c r="R118" s="109"/>
      <c r="S118" s="14"/>
      <c r="U118" s="19"/>
      <c r="V118" s="19"/>
      <c r="W118" s="19"/>
      <c r="X118" s="19"/>
      <c r="Y118" s="19"/>
      <c r="Z118" s="19" t="str">
        <f>N124</f>
        <v>YES</v>
      </c>
      <c r="AA118" s="19"/>
      <c r="AB118" s="19"/>
      <c r="AC118" s="19"/>
      <c r="AD118" s="19"/>
      <c r="AE118" s="19"/>
      <c r="AF118" s="19"/>
      <c r="AG118" s="19"/>
      <c r="AH118" s="19"/>
      <c r="AI118" s="19"/>
      <c r="AJ118" s="19"/>
      <c r="AK118" s="19"/>
    </row>
    <row r="119" spans="3:37" ht="39" customHeight="1" x14ac:dyDescent="0.35">
      <c r="C119" s="20" t="s">
        <v>209</v>
      </c>
      <c r="D119" s="167" t="s">
        <v>293</v>
      </c>
      <c r="E119" s="167"/>
      <c r="F119" s="167"/>
      <c r="G119" s="167"/>
      <c r="H119" s="167"/>
      <c r="I119" s="167"/>
      <c r="J119" s="167"/>
      <c r="K119" s="167"/>
      <c r="L119" s="167"/>
      <c r="M119" s="167"/>
      <c r="N119" s="104" t="s">
        <v>11</v>
      </c>
      <c r="O119" s="105"/>
      <c r="P119" s="107"/>
      <c r="Q119" s="108"/>
      <c r="R119" s="109"/>
      <c r="S119" s="59"/>
      <c r="U119" s="19"/>
      <c r="V119" s="19"/>
      <c r="W119" s="19"/>
      <c r="X119" s="19"/>
      <c r="Y119" s="19"/>
      <c r="Z119" s="19" t="str">
        <f>N125</f>
        <v>YES</v>
      </c>
      <c r="AA119" s="19"/>
      <c r="AB119" s="19"/>
      <c r="AC119" s="19"/>
      <c r="AD119" s="19"/>
      <c r="AE119" s="19"/>
      <c r="AF119" s="19"/>
      <c r="AG119" s="19"/>
      <c r="AH119" s="19"/>
      <c r="AI119" s="19"/>
      <c r="AJ119" s="19"/>
      <c r="AK119" s="19"/>
    </row>
    <row r="120" spans="3:37" ht="39" customHeight="1" x14ac:dyDescent="0.35">
      <c r="C120" s="20" t="s">
        <v>294</v>
      </c>
      <c r="D120" s="103" t="s">
        <v>295</v>
      </c>
      <c r="E120" s="103"/>
      <c r="F120" s="103"/>
      <c r="G120" s="103"/>
      <c r="H120" s="103"/>
      <c r="I120" s="103"/>
      <c r="J120" s="103"/>
      <c r="K120" s="103"/>
      <c r="L120" s="103"/>
      <c r="M120" s="103"/>
      <c r="N120" s="104" t="s">
        <v>11</v>
      </c>
      <c r="O120" s="105"/>
      <c r="P120" s="107"/>
      <c r="Q120" s="108"/>
      <c r="R120" s="109"/>
      <c r="S120" s="42"/>
      <c r="U120" s="19"/>
      <c r="V120" s="19"/>
      <c r="W120" s="19"/>
      <c r="X120" s="19"/>
      <c r="Y120" s="19"/>
      <c r="Z120" s="19" t="str">
        <f>N127</f>
        <v>YES</v>
      </c>
      <c r="AA120" s="19"/>
      <c r="AB120" s="19"/>
      <c r="AC120" s="19"/>
      <c r="AD120" s="19"/>
      <c r="AE120" s="19"/>
      <c r="AF120" s="19"/>
      <c r="AG120" s="19"/>
      <c r="AH120" s="19"/>
      <c r="AI120" s="19"/>
      <c r="AJ120" s="19"/>
      <c r="AK120" s="19"/>
    </row>
    <row r="121" spans="3:37" ht="44.5" customHeight="1" x14ac:dyDescent="0.35">
      <c r="C121" s="20">
        <v>7</v>
      </c>
      <c r="D121" s="163" t="s">
        <v>404</v>
      </c>
      <c r="E121" s="164"/>
      <c r="F121" s="164"/>
      <c r="G121" s="164"/>
      <c r="H121" s="164"/>
      <c r="I121" s="164"/>
      <c r="J121" s="164"/>
      <c r="K121" s="164"/>
      <c r="L121" s="164"/>
      <c r="M121" s="164"/>
      <c r="N121" s="165"/>
      <c r="O121" s="165"/>
      <c r="P121" s="165"/>
      <c r="Q121" s="165"/>
      <c r="R121" s="165"/>
      <c r="S121" s="68" t="str">
        <f>IF(COUNTA(N122:O128)=0,"",IF(COUNTIF(N122:O128,"No")&gt;=1,"NO",IF(COUNTIF(N122:O128,"SUBMITTED WITH OPEN DEFECTS")&gt;=1,"SUBMITTED WITH OPEN DEFECTS",IF(COUNTIF(N122:O128,"Yes")&gt;=1,"YES","NA"))))</f>
        <v>YES</v>
      </c>
      <c r="U121" s="19"/>
      <c r="V121" s="19"/>
      <c r="W121" s="19"/>
      <c r="X121" s="19"/>
      <c r="Y121" s="19"/>
      <c r="Z121" s="19" t="str">
        <f>N128</f>
        <v>YES</v>
      </c>
      <c r="AA121" s="19"/>
      <c r="AB121" s="19"/>
      <c r="AC121" s="19"/>
      <c r="AD121" s="19"/>
      <c r="AE121" s="19"/>
      <c r="AF121" s="19"/>
      <c r="AG121" s="19"/>
      <c r="AH121" s="19"/>
      <c r="AI121" s="19"/>
      <c r="AJ121" s="19"/>
      <c r="AK121" s="19"/>
    </row>
    <row r="122" spans="3:37" ht="66.5" customHeight="1" x14ac:dyDescent="0.35">
      <c r="C122" s="20" t="s">
        <v>212</v>
      </c>
      <c r="D122" s="103" t="s">
        <v>296</v>
      </c>
      <c r="E122" s="103"/>
      <c r="F122" s="103"/>
      <c r="G122" s="103"/>
      <c r="H122" s="103"/>
      <c r="I122" s="103"/>
      <c r="J122" s="103"/>
      <c r="K122" s="103"/>
      <c r="L122" s="103"/>
      <c r="M122" s="103"/>
      <c r="N122" s="104" t="s">
        <v>11</v>
      </c>
      <c r="O122" s="105"/>
      <c r="P122" s="107"/>
      <c r="Q122" s="108"/>
      <c r="R122" s="109"/>
      <c r="S122" s="64"/>
      <c r="U122" s="19"/>
      <c r="V122" s="19"/>
      <c r="W122" s="19"/>
      <c r="X122" s="19"/>
      <c r="Y122" s="19"/>
      <c r="Z122" s="19" t="str">
        <f>N130</f>
        <v>YES</v>
      </c>
      <c r="AA122" s="19"/>
      <c r="AB122" s="19"/>
      <c r="AC122" s="19"/>
      <c r="AD122" s="19"/>
      <c r="AE122" s="19"/>
      <c r="AF122" s="19"/>
      <c r="AG122" s="19"/>
      <c r="AH122" s="19"/>
      <c r="AI122" s="19"/>
      <c r="AJ122" s="19"/>
      <c r="AK122" s="19"/>
    </row>
    <row r="123" spans="3:37" ht="39" customHeight="1" x14ac:dyDescent="0.35">
      <c r="C123" s="20" t="s">
        <v>227</v>
      </c>
      <c r="D123" s="103" t="s">
        <v>297</v>
      </c>
      <c r="E123" s="103"/>
      <c r="F123" s="103"/>
      <c r="G123" s="103"/>
      <c r="H123" s="103"/>
      <c r="I123" s="103"/>
      <c r="J123" s="103"/>
      <c r="K123" s="103"/>
      <c r="L123" s="103"/>
      <c r="M123" s="103"/>
      <c r="N123" s="104" t="s">
        <v>11</v>
      </c>
      <c r="O123" s="105"/>
      <c r="P123" s="107"/>
      <c r="Q123" s="108"/>
      <c r="R123" s="109"/>
      <c r="S123" s="56"/>
      <c r="U123" s="19"/>
      <c r="V123" s="19"/>
      <c r="W123" s="19"/>
      <c r="X123" s="19"/>
      <c r="Y123" s="19"/>
      <c r="Z123" s="19" t="str">
        <f>N131</f>
        <v>YES</v>
      </c>
      <c r="AA123" s="19"/>
      <c r="AB123" s="19"/>
      <c r="AC123" s="19"/>
      <c r="AD123" s="19"/>
      <c r="AE123" s="19"/>
      <c r="AF123" s="19"/>
      <c r="AG123" s="19"/>
      <c r="AH123" s="19"/>
      <c r="AI123" s="19"/>
      <c r="AJ123" s="19"/>
      <c r="AK123" s="19"/>
    </row>
    <row r="124" spans="3:37" ht="39.5" customHeight="1" x14ac:dyDescent="0.35">
      <c r="C124" s="20" t="s">
        <v>228</v>
      </c>
      <c r="D124" s="103" t="s">
        <v>298</v>
      </c>
      <c r="E124" s="103"/>
      <c r="F124" s="103"/>
      <c r="G124" s="103"/>
      <c r="H124" s="103"/>
      <c r="I124" s="103"/>
      <c r="J124" s="103"/>
      <c r="K124" s="103"/>
      <c r="L124" s="103"/>
      <c r="M124" s="103"/>
      <c r="N124" s="104" t="s">
        <v>11</v>
      </c>
      <c r="O124" s="105"/>
      <c r="P124" s="107"/>
      <c r="Q124" s="108"/>
      <c r="R124" s="109"/>
      <c r="S124" s="56"/>
      <c r="U124" s="19"/>
      <c r="V124" s="19"/>
      <c r="W124" s="19"/>
      <c r="X124" s="19"/>
      <c r="Y124" s="19"/>
      <c r="Z124" s="19" t="str">
        <f>N133</f>
        <v>YES</v>
      </c>
      <c r="AA124" s="19"/>
      <c r="AB124" s="19"/>
      <c r="AC124" s="19"/>
      <c r="AD124" s="19"/>
      <c r="AE124" s="19"/>
      <c r="AF124" s="19"/>
      <c r="AG124" s="19"/>
      <c r="AH124" s="19"/>
      <c r="AI124" s="19"/>
      <c r="AJ124" s="19"/>
      <c r="AK124" s="19"/>
    </row>
    <row r="125" spans="3:37" ht="61.5" customHeight="1" x14ac:dyDescent="0.35">
      <c r="C125" s="20" t="s">
        <v>229</v>
      </c>
      <c r="D125" s="103" t="s">
        <v>299</v>
      </c>
      <c r="E125" s="103"/>
      <c r="F125" s="103"/>
      <c r="G125" s="103"/>
      <c r="H125" s="103"/>
      <c r="I125" s="103"/>
      <c r="J125" s="103"/>
      <c r="K125" s="103"/>
      <c r="L125" s="103"/>
      <c r="M125" s="103"/>
      <c r="N125" s="104" t="s">
        <v>11</v>
      </c>
      <c r="O125" s="105"/>
      <c r="P125" s="107"/>
      <c r="Q125" s="108"/>
      <c r="R125" s="109"/>
      <c r="S125" s="54"/>
      <c r="U125" s="19"/>
      <c r="V125" s="19"/>
      <c r="W125" s="19"/>
      <c r="X125" s="19"/>
      <c r="Y125" s="19"/>
      <c r="Z125" s="19" t="str">
        <f>N135</f>
        <v>YES</v>
      </c>
      <c r="AA125" s="19"/>
      <c r="AB125" s="19"/>
      <c r="AC125" s="19"/>
      <c r="AD125" s="19"/>
      <c r="AE125" s="19"/>
      <c r="AF125" s="19"/>
      <c r="AG125" s="19"/>
      <c r="AH125" s="19"/>
      <c r="AI125" s="19"/>
      <c r="AJ125" s="19"/>
      <c r="AK125" s="19"/>
    </row>
    <row r="126" spans="3:37" ht="44.5" customHeight="1" x14ac:dyDescent="0.35">
      <c r="C126" s="20">
        <v>8</v>
      </c>
      <c r="D126" s="163" t="s">
        <v>405</v>
      </c>
      <c r="E126" s="164"/>
      <c r="F126" s="164"/>
      <c r="G126" s="164"/>
      <c r="H126" s="164"/>
      <c r="I126" s="164"/>
      <c r="J126" s="164"/>
      <c r="K126" s="164"/>
      <c r="L126" s="164"/>
      <c r="M126" s="164"/>
      <c r="N126" s="165"/>
      <c r="O126" s="165"/>
      <c r="P126" s="165"/>
      <c r="Q126" s="165"/>
      <c r="R126" s="165"/>
      <c r="S126" s="68" t="str">
        <f>IF(COUNTA(N127:O133)=0,"",IF(COUNTIF(N127:O133,"No")&gt;=1,"NO",IF(COUNTIF(N127:O133,"SUBMITTED WITH OPEN DEFECTS")&gt;=1,"SUBMITTED WITH OPEN DEFECTS",IF(COUNTIF(N127:O133,"Yes")&gt;=1,"YES","NA"))))</f>
        <v>YES</v>
      </c>
      <c r="U126" s="19"/>
      <c r="V126" s="19"/>
      <c r="W126" s="19"/>
      <c r="X126" s="19"/>
      <c r="Y126" s="19"/>
      <c r="Z126" s="19" t="str">
        <f>N136</f>
        <v>YES</v>
      </c>
      <c r="AA126" s="19"/>
      <c r="AB126" s="19"/>
      <c r="AC126" s="19"/>
      <c r="AD126" s="19"/>
      <c r="AE126" s="19"/>
      <c r="AF126" s="19"/>
      <c r="AG126" s="19"/>
      <c r="AH126" s="19"/>
      <c r="AI126" s="19"/>
      <c r="AJ126" s="19"/>
      <c r="AK126" s="19"/>
    </row>
    <row r="127" spans="3:37" ht="81" customHeight="1" x14ac:dyDescent="0.35">
      <c r="C127" s="20" t="s">
        <v>213</v>
      </c>
      <c r="D127" s="103" t="s">
        <v>300</v>
      </c>
      <c r="E127" s="103"/>
      <c r="F127" s="103"/>
      <c r="G127" s="103"/>
      <c r="H127" s="103"/>
      <c r="I127" s="103"/>
      <c r="J127" s="103"/>
      <c r="K127" s="103"/>
      <c r="L127" s="103"/>
      <c r="M127" s="103"/>
      <c r="N127" s="104" t="s">
        <v>11</v>
      </c>
      <c r="O127" s="105"/>
      <c r="P127" s="107"/>
      <c r="Q127" s="108"/>
      <c r="R127" s="109"/>
      <c r="S127" s="61"/>
      <c r="U127" s="19"/>
      <c r="V127" s="19"/>
      <c r="W127" s="19"/>
      <c r="X127" s="19"/>
      <c r="Y127" s="19"/>
      <c r="Z127" s="19" t="str">
        <f>N137</f>
        <v>YES</v>
      </c>
      <c r="AA127" s="19"/>
      <c r="AB127" s="19"/>
      <c r="AC127" s="19"/>
      <c r="AD127" s="19"/>
      <c r="AE127" s="19"/>
      <c r="AF127" s="19"/>
      <c r="AG127" s="19"/>
      <c r="AH127" s="19"/>
      <c r="AI127" s="19"/>
      <c r="AJ127" s="19"/>
      <c r="AK127" s="19"/>
    </row>
    <row r="128" spans="3:37" ht="56" customHeight="1" x14ac:dyDescent="0.35">
      <c r="C128" s="20" t="s">
        <v>215</v>
      </c>
      <c r="D128" s="102" t="s">
        <v>301</v>
      </c>
      <c r="E128" s="102"/>
      <c r="F128" s="102"/>
      <c r="G128" s="102"/>
      <c r="H128" s="102"/>
      <c r="I128" s="102"/>
      <c r="J128" s="102"/>
      <c r="K128" s="102"/>
      <c r="L128" s="102"/>
      <c r="M128" s="102"/>
      <c r="N128" s="104" t="s">
        <v>11</v>
      </c>
      <c r="O128" s="105"/>
      <c r="P128" s="107"/>
      <c r="Q128" s="108"/>
      <c r="R128" s="109"/>
      <c r="S128" s="62"/>
      <c r="U128" s="19"/>
      <c r="V128" s="19"/>
      <c r="W128" s="19"/>
      <c r="X128" s="19"/>
      <c r="Y128" s="19"/>
      <c r="Z128" s="73">
        <f>E142</f>
        <v>45539</v>
      </c>
      <c r="AA128" s="19"/>
      <c r="AB128" s="19"/>
      <c r="AC128" s="19"/>
      <c r="AD128" s="19"/>
      <c r="AE128" s="19"/>
      <c r="AF128" s="19"/>
      <c r="AG128" s="19"/>
      <c r="AH128" s="19"/>
      <c r="AI128" s="19"/>
      <c r="AJ128" s="19"/>
      <c r="AK128" s="19"/>
    </row>
    <row r="129" spans="3:37" ht="44.5" customHeight="1" x14ac:dyDescent="0.35">
      <c r="C129" s="20">
        <v>9</v>
      </c>
      <c r="D129" s="163" t="s">
        <v>302</v>
      </c>
      <c r="E129" s="164"/>
      <c r="F129" s="164"/>
      <c r="G129" s="164"/>
      <c r="H129" s="164"/>
      <c r="I129" s="164"/>
      <c r="J129" s="164"/>
      <c r="K129" s="164"/>
      <c r="L129" s="164"/>
      <c r="M129" s="164"/>
      <c r="N129" s="165"/>
      <c r="O129" s="165"/>
      <c r="P129" s="165"/>
      <c r="Q129" s="165"/>
      <c r="R129" s="165"/>
      <c r="S129" s="68" t="str">
        <f>IF(COUNTA(N130:O136)=0,"",IF(COUNTIF(N130:O136,"No")&gt;=1,"NO",IF(COUNTIF(N130:O136,"SUBMITTED WITH OPEN DEFECTS")&gt;=1,"SUBMITTED WITH OPEN DEFECTS",IF(COUNTIF(N130:O136,"Yes")&gt;=1,"YES","NA"))))</f>
        <v>YES</v>
      </c>
      <c r="U129" s="19"/>
      <c r="V129" s="19"/>
      <c r="W129" s="19"/>
      <c r="X129" s="19"/>
      <c r="Y129" s="19"/>
      <c r="Z129" s="19"/>
      <c r="AA129" s="19"/>
      <c r="AB129" s="19"/>
      <c r="AC129" s="19"/>
      <c r="AD129" s="19"/>
      <c r="AE129" s="19"/>
      <c r="AF129" s="19"/>
      <c r="AG129" s="19"/>
      <c r="AH129" s="19"/>
      <c r="AI129" s="19"/>
      <c r="AJ129" s="19"/>
      <c r="AK129" s="19"/>
    </row>
    <row r="130" spans="3:37" ht="39" customHeight="1" x14ac:dyDescent="0.35">
      <c r="C130" s="20" t="s">
        <v>303</v>
      </c>
      <c r="D130" s="168" t="s">
        <v>304</v>
      </c>
      <c r="E130" s="168"/>
      <c r="F130" s="168"/>
      <c r="G130" s="168"/>
      <c r="H130" s="168"/>
      <c r="I130" s="168"/>
      <c r="J130" s="168"/>
      <c r="K130" s="168"/>
      <c r="L130" s="168"/>
      <c r="M130" s="168"/>
      <c r="N130" s="104" t="s">
        <v>11</v>
      </c>
      <c r="O130" s="105"/>
      <c r="P130" s="107"/>
      <c r="Q130" s="108"/>
      <c r="R130" s="109"/>
      <c r="S130" s="65"/>
      <c r="U130" s="19"/>
      <c r="V130" s="19"/>
      <c r="W130" s="19"/>
      <c r="X130" s="19"/>
      <c r="Y130" s="19"/>
      <c r="AA130" s="19"/>
      <c r="AB130" s="19"/>
      <c r="AC130" s="19"/>
      <c r="AD130" s="19"/>
      <c r="AE130" s="19"/>
      <c r="AF130" s="19"/>
      <c r="AG130" s="19"/>
      <c r="AH130" s="19"/>
      <c r="AI130" s="19"/>
      <c r="AJ130" s="19"/>
      <c r="AK130" s="19"/>
    </row>
    <row r="131" spans="3:37" ht="39" customHeight="1" x14ac:dyDescent="0.35">
      <c r="C131" s="20" t="s">
        <v>305</v>
      </c>
      <c r="D131" s="168" t="s">
        <v>306</v>
      </c>
      <c r="E131" s="168"/>
      <c r="F131" s="168"/>
      <c r="G131" s="168"/>
      <c r="H131" s="168"/>
      <c r="I131" s="168"/>
      <c r="J131" s="168"/>
      <c r="K131" s="168"/>
      <c r="L131" s="168"/>
      <c r="M131" s="168"/>
      <c r="N131" s="104" t="s">
        <v>11</v>
      </c>
      <c r="O131" s="105"/>
      <c r="P131" s="107"/>
      <c r="Q131" s="108"/>
      <c r="R131" s="109"/>
      <c r="S131" s="60"/>
      <c r="U131" s="19"/>
      <c r="V131" s="19"/>
      <c r="W131" s="19"/>
      <c r="X131" s="19"/>
      <c r="Y131" s="19"/>
      <c r="AA131" s="19"/>
      <c r="AB131" s="19"/>
      <c r="AC131" s="19"/>
      <c r="AD131" s="19"/>
      <c r="AE131" s="19"/>
      <c r="AF131" s="19"/>
      <c r="AG131" s="19"/>
      <c r="AH131" s="19"/>
      <c r="AI131" s="19"/>
      <c r="AJ131" s="19"/>
      <c r="AK131" s="19"/>
    </row>
    <row r="132" spans="3:37" ht="44.5" customHeight="1" x14ac:dyDescent="0.35">
      <c r="C132" s="20">
        <v>10</v>
      </c>
      <c r="D132" s="166" t="s">
        <v>408</v>
      </c>
      <c r="E132" s="165"/>
      <c r="F132" s="165"/>
      <c r="G132" s="165"/>
      <c r="H132" s="165"/>
      <c r="I132" s="165"/>
      <c r="J132" s="165"/>
      <c r="K132" s="165"/>
      <c r="L132" s="165"/>
      <c r="M132" s="165"/>
      <c r="N132" s="165"/>
      <c r="O132" s="165"/>
      <c r="P132" s="165"/>
      <c r="Q132" s="165"/>
      <c r="R132" s="165"/>
      <c r="S132" s="68" t="str">
        <f>IF(COUNTA(N133:O139)=0,"",IF(COUNTIF(N133:O139,"No")&gt;=1,"NO",IF(COUNTIF(N133:O139,"SUBMITTED WITH OPEN DEFECTS")&gt;=1,"SUBMITTED WITH OPEN DEFECTS",IF(COUNTIF(N133:O139,"Yes")&gt;=1,"YES","NA"))))</f>
        <v>YES</v>
      </c>
      <c r="U132" s="19"/>
      <c r="V132" s="19"/>
      <c r="W132" s="19"/>
      <c r="X132" s="19"/>
      <c r="Y132" s="19"/>
      <c r="Z132" s="19"/>
      <c r="AA132" s="19"/>
      <c r="AB132" s="19"/>
      <c r="AC132" s="19"/>
      <c r="AD132" s="19"/>
      <c r="AE132" s="19"/>
      <c r="AF132" s="19"/>
      <c r="AG132" s="19"/>
      <c r="AH132" s="19"/>
      <c r="AI132" s="19"/>
      <c r="AJ132" s="19"/>
      <c r="AK132" s="19"/>
    </row>
    <row r="133" spans="3:37" ht="63" customHeight="1" x14ac:dyDescent="0.35">
      <c r="C133" s="20" t="s">
        <v>307</v>
      </c>
      <c r="D133" s="102" t="s">
        <v>406</v>
      </c>
      <c r="E133" s="102"/>
      <c r="F133" s="102"/>
      <c r="G133" s="102"/>
      <c r="H133" s="102"/>
      <c r="I133" s="102"/>
      <c r="J133" s="102"/>
      <c r="K133" s="102"/>
      <c r="L133" s="102"/>
      <c r="M133" s="102"/>
      <c r="N133" s="104" t="s">
        <v>11</v>
      </c>
      <c r="O133" s="105"/>
      <c r="P133" s="107"/>
      <c r="Q133" s="108"/>
      <c r="R133" s="109"/>
      <c r="S133" s="13"/>
      <c r="U133" s="19"/>
      <c r="V133" s="19"/>
      <c r="W133" s="19"/>
      <c r="X133" s="19"/>
      <c r="Y133" s="19"/>
      <c r="AA133" s="19"/>
      <c r="AB133" s="19"/>
      <c r="AC133" s="19"/>
      <c r="AD133" s="19"/>
      <c r="AE133" s="19"/>
      <c r="AF133" s="19"/>
      <c r="AG133" s="19"/>
      <c r="AH133" s="19"/>
      <c r="AI133" s="19"/>
      <c r="AJ133" s="19"/>
      <c r="AK133" s="19"/>
    </row>
    <row r="134" spans="3:37" ht="44.5" customHeight="1" x14ac:dyDescent="0.35">
      <c r="C134" s="20">
        <v>11</v>
      </c>
      <c r="D134" s="163" t="s">
        <v>308</v>
      </c>
      <c r="E134" s="164"/>
      <c r="F134" s="164"/>
      <c r="G134" s="164"/>
      <c r="H134" s="164"/>
      <c r="I134" s="164"/>
      <c r="J134" s="164"/>
      <c r="K134" s="164"/>
      <c r="L134" s="164"/>
      <c r="M134" s="164"/>
      <c r="N134" s="165"/>
      <c r="O134" s="165"/>
      <c r="P134" s="165"/>
      <c r="Q134" s="165"/>
      <c r="R134" s="165"/>
      <c r="S134" s="68" t="str">
        <f>IF(COUNTA(N135:O141)=0,"",IF(COUNTIF(N135:O141,"No")&gt;=1,"NO",IF(COUNTIF(N135:O141,"SUBMITTED WITH OPEN DEFECTS")&gt;=1,"SUBMITTED WITH OPEN DEFECTS",IF(COUNTIF(N135:O141,"Yes")&gt;=1,"YES","NA"))))</f>
        <v>YES</v>
      </c>
      <c r="U134" s="19"/>
      <c r="V134" s="19"/>
      <c r="W134" s="19"/>
      <c r="X134" s="19"/>
      <c r="Y134" s="19"/>
      <c r="Z134" s="19"/>
      <c r="AA134" s="19"/>
      <c r="AB134" s="19"/>
      <c r="AC134" s="19"/>
      <c r="AD134" s="19"/>
      <c r="AE134" s="19"/>
      <c r="AF134" s="19"/>
      <c r="AG134" s="19"/>
      <c r="AH134" s="19"/>
      <c r="AI134" s="19"/>
      <c r="AJ134" s="19"/>
      <c r="AK134" s="19"/>
    </row>
    <row r="135" spans="3:37" ht="39" customHeight="1" x14ac:dyDescent="0.35">
      <c r="C135" s="20" t="s">
        <v>309</v>
      </c>
      <c r="D135" s="167" t="s">
        <v>310</v>
      </c>
      <c r="E135" s="167"/>
      <c r="F135" s="167"/>
      <c r="G135" s="167"/>
      <c r="H135" s="167"/>
      <c r="I135" s="167"/>
      <c r="J135" s="167"/>
      <c r="K135" s="167"/>
      <c r="L135" s="167"/>
      <c r="M135" s="167"/>
      <c r="N135" s="104" t="s">
        <v>11</v>
      </c>
      <c r="O135" s="105"/>
      <c r="P135" s="107"/>
      <c r="Q135" s="108"/>
      <c r="R135" s="109"/>
      <c r="S135" s="66"/>
      <c r="U135" s="19"/>
      <c r="V135" s="19"/>
      <c r="W135" s="19"/>
      <c r="X135" s="19"/>
      <c r="Y135" s="19"/>
      <c r="AA135" s="19"/>
      <c r="AB135" s="19"/>
      <c r="AC135" s="19"/>
      <c r="AD135" s="19"/>
      <c r="AE135" s="19"/>
      <c r="AF135" s="19"/>
      <c r="AG135" s="19"/>
      <c r="AH135" s="19"/>
      <c r="AI135" s="19"/>
      <c r="AJ135" s="19"/>
      <c r="AK135" s="19"/>
    </row>
    <row r="136" spans="3:37" ht="39" customHeight="1" x14ac:dyDescent="0.35">
      <c r="C136" s="20" t="s">
        <v>311</v>
      </c>
      <c r="D136" s="167" t="s">
        <v>312</v>
      </c>
      <c r="E136" s="167"/>
      <c r="F136" s="167"/>
      <c r="G136" s="167"/>
      <c r="H136" s="167"/>
      <c r="I136" s="167"/>
      <c r="J136" s="167"/>
      <c r="K136" s="167"/>
      <c r="L136" s="167"/>
      <c r="M136" s="167"/>
      <c r="N136" s="104" t="s">
        <v>11</v>
      </c>
      <c r="O136" s="105"/>
      <c r="P136" s="107"/>
      <c r="Q136" s="108"/>
      <c r="R136" s="109"/>
      <c r="S136" s="59"/>
      <c r="U136" s="19"/>
      <c r="V136" s="19"/>
      <c r="W136" s="19"/>
      <c r="X136" s="19"/>
      <c r="Y136" s="19"/>
      <c r="AA136" s="19"/>
      <c r="AB136" s="19"/>
      <c r="AC136" s="19"/>
      <c r="AD136" s="19"/>
      <c r="AE136" s="19"/>
      <c r="AF136" s="19"/>
      <c r="AG136" s="19"/>
      <c r="AH136" s="19"/>
      <c r="AI136" s="19"/>
      <c r="AJ136" s="19"/>
      <c r="AK136" s="19"/>
    </row>
    <row r="137" spans="3:37" ht="39" customHeight="1" x14ac:dyDescent="0.35">
      <c r="C137" s="20" t="s">
        <v>313</v>
      </c>
      <c r="D137" s="167" t="s">
        <v>314</v>
      </c>
      <c r="E137" s="167"/>
      <c r="F137" s="167"/>
      <c r="G137" s="167"/>
      <c r="H137" s="167"/>
      <c r="I137" s="167"/>
      <c r="J137" s="167"/>
      <c r="K137" s="167"/>
      <c r="L137" s="167"/>
      <c r="M137" s="167"/>
      <c r="N137" s="104" t="s">
        <v>11</v>
      </c>
      <c r="O137" s="105"/>
      <c r="P137" s="107"/>
      <c r="Q137" s="108"/>
      <c r="R137" s="109"/>
      <c r="S137" s="59"/>
      <c r="U137" s="19"/>
      <c r="V137" s="19"/>
      <c r="W137" s="19"/>
      <c r="X137" s="19"/>
      <c r="Y137" s="19"/>
      <c r="AA137" s="19"/>
      <c r="AB137" s="19"/>
      <c r="AC137" s="19"/>
      <c r="AD137" s="19"/>
      <c r="AE137" s="19"/>
      <c r="AF137" s="19"/>
      <c r="AG137" s="19"/>
      <c r="AH137" s="19"/>
      <c r="AI137" s="19"/>
      <c r="AJ137" s="19"/>
      <c r="AK137" s="19"/>
    </row>
    <row r="138" spans="3:37" ht="39" hidden="1" customHeight="1" x14ac:dyDescent="0.35">
      <c r="C138" s="20">
        <v>12</v>
      </c>
      <c r="D138" s="167" t="s">
        <v>315</v>
      </c>
      <c r="E138" s="167"/>
      <c r="F138" s="167"/>
      <c r="G138" s="167"/>
      <c r="H138" s="167"/>
      <c r="I138" s="167"/>
      <c r="J138" s="167"/>
      <c r="K138" s="167"/>
      <c r="L138" s="167"/>
      <c r="M138" s="167"/>
      <c r="N138" s="156"/>
      <c r="O138" s="105"/>
      <c r="P138" s="115" t="s">
        <v>514</v>
      </c>
      <c r="Q138" s="115"/>
      <c r="R138" s="115"/>
      <c r="S138" s="58"/>
      <c r="U138" s="19"/>
      <c r="V138" s="19"/>
      <c r="W138" s="19"/>
      <c r="X138" s="19"/>
      <c r="Y138" s="19"/>
      <c r="AA138" s="19"/>
      <c r="AB138" s="19"/>
      <c r="AC138" s="19"/>
      <c r="AD138" s="19"/>
      <c r="AE138" s="19"/>
      <c r="AF138" s="19"/>
      <c r="AG138" s="19"/>
      <c r="AH138" s="19"/>
      <c r="AI138" s="19"/>
      <c r="AJ138" s="19"/>
      <c r="AK138" s="19"/>
    </row>
    <row r="139" spans="3:37" ht="39" customHeight="1" x14ac:dyDescent="0.35">
      <c r="C139" s="157" t="s">
        <v>230</v>
      </c>
      <c r="D139" s="158"/>
      <c r="E139" s="159"/>
      <c r="F139" s="119"/>
      <c r="G139" s="119"/>
      <c r="H139" s="119"/>
      <c r="I139" s="119"/>
      <c r="J139" s="119"/>
      <c r="K139" s="119"/>
      <c r="L139" s="119"/>
      <c r="M139" s="119"/>
      <c r="N139" s="119"/>
      <c r="O139" s="119"/>
      <c r="P139" s="119"/>
      <c r="Q139" s="119"/>
      <c r="R139" s="119"/>
      <c r="S139" s="14"/>
      <c r="U139" s="19"/>
      <c r="V139" s="19"/>
      <c r="W139" s="19"/>
      <c r="X139" s="19"/>
      <c r="Y139" s="19"/>
      <c r="Z139" s="19"/>
      <c r="AA139" s="19"/>
      <c r="AB139" s="19"/>
      <c r="AC139" s="19"/>
      <c r="AD139" s="19"/>
      <c r="AE139" s="19"/>
      <c r="AF139" s="19"/>
      <c r="AG139" s="19"/>
      <c r="AH139" s="19"/>
      <c r="AI139" s="19"/>
      <c r="AJ139" s="19"/>
      <c r="AK139" s="19"/>
    </row>
    <row r="140" spans="3:37" ht="28" customHeight="1" x14ac:dyDescent="0.35">
      <c r="C140" s="120" t="s">
        <v>231</v>
      </c>
      <c r="D140" s="121"/>
      <c r="E140" s="121"/>
      <c r="F140" s="121"/>
      <c r="G140" s="121"/>
      <c r="H140" s="121"/>
      <c r="I140" s="121"/>
      <c r="J140" s="121"/>
      <c r="K140" s="121"/>
      <c r="L140" s="121"/>
      <c r="M140" s="121"/>
      <c r="N140" s="121"/>
      <c r="O140" s="121"/>
      <c r="P140" s="121"/>
      <c r="Q140" s="121"/>
      <c r="R140" s="121"/>
      <c r="S140" s="7"/>
      <c r="U140" s="19"/>
      <c r="V140" s="19"/>
      <c r="W140" s="19"/>
      <c r="X140" s="19"/>
      <c r="Y140" s="19"/>
      <c r="Z140" s="19"/>
      <c r="AA140" s="19"/>
      <c r="AB140" s="19"/>
      <c r="AC140" s="19"/>
      <c r="AD140" s="19"/>
      <c r="AE140" s="19"/>
      <c r="AF140" s="19"/>
      <c r="AG140" s="19"/>
      <c r="AH140" s="19"/>
      <c r="AI140" s="19"/>
      <c r="AJ140" s="19"/>
      <c r="AK140" s="19"/>
    </row>
    <row r="141" spans="3:37" ht="44.5" customHeight="1" x14ac:dyDescent="0.35">
      <c r="C141" s="154" t="s">
        <v>232</v>
      </c>
      <c r="D141" s="176"/>
      <c r="E141" s="75" t="s">
        <v>524</v>
      </c>
      <c r="F141" s="122" t="s">
        <v>233</v>
      </c>
      <c r="G141" s="122"/>
      <c r="H141" s="122" t="s">
        <v>234</v>
      </c>
      <c r="I141" s="122"/>
      <c r="J141" s="122" t="s">
        <v>235</v>
      </c>
      <c r="K141" s="122"/>
      <c r="L141" s="122" t="s">
        <v>236</v>
      </c>
      <c r="M141" s="122"/>
      <c r="N141" s="122"/>
      <c r="O141" s="122"/>
      <c r="P141" s="122" t="s">
        <v>237</v>
      </c>
      <c r="Q141" s="122"/>
      <c r="R141" s="122"/>
      <c r="S141" s="7"/>
      <c r="U141" s="19"/>
      <c r="V141" s="19"/>
      <c r="W141" s="19"/>
      <c r="X141" s="19"/>
      <c r="Y141" s="19"/>
      <c r="Z141" s="19"/>
      <c r="AA141" s="19"/>
      <c r="AB141" s="19"/>
      <c r="AC141" s="19"/>
      <c r="AD141" s="19"/>
      <c r="AE141" s="19"/>
      <c r="AF141" s="19"/>
      <c r="AG141" s="19"/>
      <c r="AH141" s="19"/>
      <c r="AI141" s="19"/>
      <c r="AJ141" s="19"/>
      <c r="AK141" s="19"/>
    </row>
    <row r="142" spans="3:37" ht="44.5" customHeight="1" x14ac:dyDescent="0.35">
      <c r="C142" s="154" t="s">
        <v>412</v>
      </c>
      <c r="D142" s="155"/>
      <c r="E142" s="76">
        <v>45539</v>
      </c>
      <c r="F142" s="137" t="s">
        <v>12</v>
      </c>
      <c r="G142" s="137"/>
      <c r="H142" s="138">
        <v>45539</v>
      </c>
      <c r="I142" s="139"/>
      <c r="J142" s="140" t="str">
        <f>IF(COUNTA(Z85:Z128)=0,"",IF(COUNTIF(Z85:Z128,"No")&gt;=1,"Defects Raised",IF(COUNTIF(Z85:Z128,"SUBMITTED WITH OPEN DEFECTS")&gt;=1,"SUBMITTED WITH OPEN DEFECTS",IF(COUNTIF(Z85:Z128,"Yes")&gt;=1,"No Defects",""))))</f>
        <v>No Defects</v>
      </c>
      <c r="K142" s="140"/>
      <c r="L142" s="139" t="s">
        <v>16</v>
      </c>
      <c r="M142" s="139"/>
      <c r="N142" s="139"/>
      <c r="O142" s="139"/>
      <c r="P142" s="141"/>
      <c r="Q142" s="141"/>
      <c r="R142" s="141"/>
      <c r="S142" s="7"/>
      <c r="U142" s="19"/>
      <c r="V142" s="19"/>
      <c r="W142" s="19"/>
      <c r="X142" s="19"/>
      <c r="Y142" s="19"/>
      <c r="Z142" s="19"/>
      <c r="AA142" s="19"/>
      <c r="AB142" s="19"/>
      <c r="AC142" s="19"/>
      <c r="AD142" s="19"/>
      <c r="AE142" s="19"/>
      <c r="AF142" s="19"/>
      <c r="AG142" s="19"/>
      <c r="AH142" s="19"/>
      <c r="AI142" s="19"/>
      <c r="AJ142" s="19"/>
      <c r="AK142" s="19"/>
    </row>
    <row r="143" spans="3:37" ht="32.5" customHeight="1" x14ac:dyDescent="0.35">
      <c r="C143" s="160" t="s">
        <v>529</v>
      </c>
      <c r="D143" s="161"/>
      <c r="E143" s="161"/>
      <c r="F143" s="161"/>
      <c r="G143" s="161"/>
      <c r="H143" s="161"/>
      <c r="I143" s="161"/>
      <c r="J143" s="161"/>
      <c r="K143" s="161"/>
      <c r="L143" s="161"/>
      <c r="M143" s="161"/>
      <c r="N143" s="161"/>
      <c r="O143" s="161"/>
      <c r="P143" s="161"/>
      <c r="Q143" s="161"/>
      <c r="R143" s="161"/>
      <c r="S143" s="68" t="str">
        <f>IF(N144="","",N144)</f>
        <v>YES</v>
      </c>
      <c r="T143" s="18">
        <v>26</v>
      </c>
      <c r="U143" s="19"/>
      <c r="V143" s="19"/>
      <c r="W143" s="19"/>
      <c r="X143" s="19"/>
      <c r="Y143" s="19"/>
      <c r="Z143" s="19"/>
      <c r="AA143" s="19"/>
      <c r="AB143" s="19"/>
      <c r="AC143" s="19"/>
      <c r="AD143" s="19"/>
      <c r="AE143" s="19"/>
      <c r="AF143" s="19"/>
      <c r="AG143" s="19"/>
      <c r="AH143" s="19"/>
      <c r="AI143" s="19"/>
      <c r="AJ143" s="19"/>
      <c r="AK143" s="19"/>
    </row>
    <row r="144" spans="3:37" ht="39" customHeight="1" x14ac:dyDescent="0.35">
      <c r="C144" s="29">
        <v>1</v>
      </c>
      <c r="D144" s="162" t="s">
        <v>322</v>
      </c>
      <c r="E144" s="162"/>
      <c r="F144" s="162"/>
      <c r="G144" s="162"/>
      <c r="H144" s="162"/>
      <c r="I144" s="162"/>
      <c r="J144" s="162"/>
      <c r="K144" s="162"/>
      <c r="L144" s="162"/>
      <c r="M144" s="162"/>
      <c r="N144" s="104" t="s">
        <v>11</v>
      </c>
      <c r="O144" s="105"/>
      <c r="P144" s="107"/>
      <c r="Q144" s="108"/>
      <c r="R144" s="109"/>
      <c r="S144" s="15"/>
      <c r="U144" s="19"/>
      <c r="V144" s="19"/>
      <c r="W144" s="19"/>
      <c r="X144" s="19"/>
      <c r="Y144" s="19"/>
      <c r="Z144" s="19" t="str">
        <f>N144</f>
        <v>YES</v>
      </c>
      <c r="AA144" s="19"/>
      <c r="AB144" s="19"/>
      <c r="AC144" s="19"/>
      <c r="AD144" s="19"/>
      <c r="AE144" s="19"/>
      <c r="AF144" s="19"/>
      <c r="AG144" s="19"/>
      <c r="AH144" s="19"/>
      <c r="AI144" s="19"/>
      <c r="AJ144" s="19"/>
      <c r="AK144" s="19"/>
    </row>
    <row r="145" spans="3:37" ht="39" customHeight="1" x14ac:dyDescent="0.35">
      <c r="C145" s="29">
        <v>2</v>
      </c>
      <c r="D145" s="87" t="s">
        <v>323</v>
      </c>
      <c r="E145" s="88"/>
      <c r="F145" s="88"/>
      <c r="G145" s="88"/>
      <c r="H145" s="88"/>
      <c r="I145" s="88"/>
      <c r="J145" s="88"/>
      <c r="K145" s="88"/>
      <c r="L145" s="88"/>
      <c r="M145" s="88"/>
      <c r="N145" s="89"/>
      <c r="O145" s="89"/>
      <c r="P145" s="89"/>
      <c r="Q145" s="89"/>
      <c r="R145" s="89"/>
      <c r="S145" s="68" t="str">
        <f>IF(COUNTA(N146:O148)=0,"",IF(COUNTIF(N146:O148,"No")&gt;=1,"NO",IF(COUNTIF(N146:O148,"SUBMITTED WITH OPEN DEFECTS")&gt;=1,"SUBMITTED WITH OPEN DEFECTS",IF(COUNTIF(N146:O148,"YES")&gt;=1,"YES","NA"))))</f>
        <v>YES</v>
      </c>
      <c r="U145" s="19"/>
      <c r="V145" s="19"/>
      <c r="W145" s="19"/>
      <c r="X145" s="19"/>
      <c r="Y145" s="19"/>
      <c r="Z145" s="19" t="str">
        <f>N146</f>
        <v>YES</v>
      </c>
      <c r="AA145" s="19"/>
      <c r="AB145" s="19"/>
      <c r="AC145" s="19"/>
      <c r="AD145" s="19"/>
      <c r="AE145" s="19"/>
      <c r="AF145" s="19"/>
      <c r="AG145" s="19"/>
      <c r="AH145" s="19"/>
      <c r="AI145" s="19"/>
      <c r="AJ145" s="19"/>
      <c r="AK145" s="19"/>
    </row>
    <row r="146" spans="3:37" ht="39" customHeight="1" x14ac:dyDescent="0.35">
      <c r="C146" s="29" t="s">
        <v>198</v>
      </c>
      <c r="D146" s="106" t="s">
        <v>324</v>
      </c>
      <c r="E146" s="106"/>
      <c r="F146" s="106"/>
      <c r="G146" s="106"/>
      <c r="H146" s="106"/>
      <c r="I146" s="106"/>
      <c r="J146" s="106"/>
      <c r="K146" s="106"/>
      <c r="L146" s="106"/>
      <c r="M146" s="106"/>
      <c r="N146" s="104" t="s">
        <v>11</v>
      </c>
      <c r="O146" s="105"/>
      <c r="P146" s="107"/>
      <c r="Q146" s="108"/>
      <c r="R146" s="109"/>
      <c r="S146" s="43"/>
      <c r="U146" s="19"/>
      <c r="V146" s="19"/>
      <c r="W146" s="19"/>
      <c r="X146" s="19"/>
      <c r="Y146" s="19"/>
      <c r="Z146" s="19" t="str">
        <f>N147</f>
        <v>YES</v>
      </c>
      <c r="AA146" s="19"/>
      <c r="AB146" s="19"/>
      <c r="AC146" s="19"/>
      <c r="AD146" s="19"/>
      <c r="AE146" s="19"/>
      <c r="AF146" s="19"/>
      <c r="AG146" s="19"/>
      <c r="AH146" s="19"/>
      <c r="AI146" s="19"/>
      <c r="AJ146" s="19"/>
      <c r="AK146" s="19"/>
    </row>
    <row r="147" spans="3:37" ht="39" customHeight="1" x14ac:dyDescent="0.35">
      <c r="C147" s="29" t="s">
        <v>199</v>
      </c>
      <c r="D147" s="106" t="s">
        <v>325</v>
      </c>
      <c r="E147" s="106"/>
      <c r="F147" s="106"/>
      <c r="G147" s="106"/>
      <c r="H147" s="106"/>
      <c r="I147" s="106"/>
      <c r="J147" s="106"/>
      <c r="K147" s="106"/>
      <c r="L147" s="106"/>
      <c r="M147" s="106"/>
      <c r="N147" s="104" t="s">
        <v>11</v>
      </c>
      <c r="O147" s="105"/>
      <c r="P147" s="107"/>
      <c r="Q147" s="108"/>
      <c r="R147" s="109"/>
      <c r="S147" s="47"/>
      <c r="U147" s="19"/>
      <c r="V147" s="19"/>
      <c r="W147" s="19"/>
      <c r="X147" s="19"/>
      <c r="Y147" s="19"/>
      <c r="Z147" s="19" t="str">
        <f>N148</f>
        <v>YES</v>
      </c>
      <c r="AA147" s="19"/>
      <c r="AB147" s="19"/>
      <c r="AC147" s="19"/>
      <c r="AD147" s="19"/>
      <c r="AE147" s="19"/>
      <c r="AF147" s="19"/>
      <c r="AG147" s="19"/>
      <c r="AH147" s="19"/>
      <c r="AI147" s="19"/>
      <c r="AJ147" s="19"/>
      <c r="AK147" s="19"/>
    </row>
    <row r="148" spans="3:37" ht="39" customHeight="1" x14ac:dyDescent="0.35">
      <c r="C148" s="29" t="s">
        <v>257</v>
      </c>
      <c r="D148" s="106" t="s">
        <v>326</v>
      </c>
      <c r="E148" s="106"/>
      <c r="F148" s="106"/>
      <c r="G148" s="106"/>
      <c r="H148" s="106"/>
      <c r="I148" s="106"/>
      <c r="J148" s="106"/>
      <c r="K148" s="106"/>
      <c r="L148" s="106"/>
      <c r="M148" s="106"/>
      <c r="N148" s="104" t="s">
        <v>11</v>
      </c>
      <c r="O148" s="105"/>
      <c r="P148" s="107"/>
      <c r="Q148" s="108"/>
      <c r="R148" s="109"/>
      <c r="S148" s="48"/>
      <c r="U148" s="19"/>
      <c r="V148" s="19"/>
      <c r="W148" s="19"/>
      <c r="X148" s="19"/>
      <c r="Y148" s="19"/>
      <c r="Z148" s="19" t="str">
        <f>N150</f>
        <v>YES</v>
      </c>
      <c r="AA148" s="19"/>
      <c r="AB148" s="19"/>
      <c r="AC148" s="19"/>
      <c r="AD148" s="19"/>
      <c r="AE148" s="19"/>
      <c r="AF148" s="19"/>
      <c r="AG148" s="19"/>
      <c r="AH148" s="19"/>
      <c r="AI148" s="19"/>
      <c r="AJ148" s="19"/>
      <c r="AK148" s="19"/>
    </row>
    <row r="149" spans="3:37" ht="39" customHeight="1" x14ac:dyDescent="0.35">
      <c r="C149" s="29">
        <v>3</v>
      </c>
      <c r="D149" s="90" t="s">
        <v>270</v>
      </c>
      <c r="E149" s="91"/>
      <c r="F149" s="91"/>
      <c r="G149" s="91"/>
      <c r="H149" s="91"/>
      <c r="I149" s="91"/>
      <c r="J149" s="91"/>
      <c r="K149" s="91"/>
      <c r="L149" s="91"/>
      <c r="M149" s="91"/>
      <c r="N149" s="92"/>
      <c r="O149" s="92"/>
      <c r="P149" s="92"/>
      <c r="Q149" s="92"/>
      <c r="R149" s="92"/>
      <c r="S149" s="68" t="str">
        <f>IF(COUNTA(N150:O153)=0,"",IF(COUNTIF(N150:O153,"No")&gt;=1,"NO",IF(COUNTIF(N150:O153,"SUBMITTED WITH OPEN DEFECTS")&gt;=1,"SUBMITTED WITH OPEN DEFECTS",IF(COUNTIF(N150:O153,"Yes")&gt;=1,"YES","NA"))))</f>
        <v>YES</v>
      </c>
      <c r="U149" s="19"/>
      <c r="V149" s="19"/>
      <c r="W149" s="19"/>
      <c r="X149" s="19"/>
      <c r="Y149" s="19"/>
      <c r="Z149" s="19" t="str">
        <f>N151</f>
        <v>YES</v>
      </c>
      <c r="AA149" s="19"/>
      <c r="AB149" s="19"/>
      <c r="AC149" s="19"/>
      <c r="AD149" s="19"/>
      <c r="AE149" s="19"/>
      <c r="AF149" s="19"/>
      <c r="AG149" s="19"/>
      <c r="AH149" s="19"/>
      <c r="AI149" s="19"/>
      <c r="AJ149" s="19"/>
      <c r="AK149" s="19"/>
    </row>
    <row r="150" spans="3:37" ht="39" customHeight="1" x14ac:dyDescent="0.35">
      <c r="C150" s="29" t="s">
        <v>200</v>
      </c>
      <c r="D150" s="106" t="s">
        <v>327</v>
      </c>
      <c r="E150" s="106"/>
      <c r="F150" s="106"/>
      <c r="G150" s="106"/>
      <c r="H150" s="106"/>
      <c r="I150" s="106"/>
      <c r="J150" s="106"/>
      <c r="K150" s="106"/>
      <c r="L150" s="106"/>
      <c r="M150" s="124"/>
      <c r="N150" s="104" t="s">
        <v>11</v>
      </c>
      <c r="O150" s="105"/>
      <c r="P150" s="107"/>
      <c r="Q150" s="108"/>
      <c r="R150" s="109"/>
      <c r="S150" s="43"/>
      <c r="U150" s="19"/>
      <c r="V150" s="19"/>
      <c r="W150" s="19"/>
      <c r="X150" s="19"/>
      <c r="Y150" s="19"/>
      <c r="Z150" s="19" t="str">
        <f>N152</f>
        <v>YES</v>
      </c>
      <c r="AA150" s="19"/>
      <c r="AB150" s="19"/>
      <c r="AC150" s="19"/>
      <c r="AD150" s="19"/>
      <c r="AE150" s="19"/>
      <c r="AF150" s="19"/>
      <c r="AG150" s="19"/>
      <c r="AH150" s="19"/>
      <c r="AI150" s="19"/>
      <c r="AJ150" s="19"/>
      <c r="AK150" s="19"/>
    </row>
    <row r="151" spans="3:37" ht="39" customHeight="1" x14ac:dyDescent="0.35">
      <c r="C151" s="29" t="s">
        <v>224</v>
      </c>
      <c r="D151" s="106" t="s">
        <v>328</v>
      </c>
      <c r="E151" s="106"/>
      <c r="F151" s="106"/>
      <c r="G151" s="106"/>
      <c r="H151" s="106"/>
      <c r="I151" s="106"/>
      <c r="J151" s="106"/>
      <c r="K151" s="106"/>
      <c r="L151" s="106"/>
      <c r="M151" s="124"/>
      <c r="N151" s="104" t="s">
        <v>11</v>
      </c>
      <c r="O151" s="105"/>
      <c r="P151" s="107"/>
      <c r="Q151" s="108"/>
      <c r="R151" s="109"/>
      <c r="S151" s="47"/>
      <c r="U151" s="19"/>
      <c r="V151" s="19"/>
      <c r="W151" s="19"/>
      <c r="X151" s="19"/>
      <c r="Y151" s="19"/>
      <c r="Z151" s="19" t="str">
        <f>N153</f>
        <v>YES</v>
      </c>
      <c r="AA151" s="19"/>
      <c r="AB151" s="19"/>
      <c r="AC151" s="19"/>
      <c r="AD151" s="19"/>
      <c r="AE151" s="19"/>
      <c r="AF151" s="19"/>
      <c r="AG151" s="19"/>
      <c r="AH151" s="19"/>
      <c r="AI151" s="19"/>
      <c r="AJ151" s="19"/>
      <c r="AK151" s="19"/>
    </row>
    <row r="152" spans="3:37" ht="39" customHeight="1" x14ac:dyDescent="0.35">
      <c r="C152" s="29" t="s">
        <v>262</v>
      </c>
      <c r="D152" s="106" t="s">
        <v>329</v>
      </c>
      <c r="E152" s="106"/>
      <c r="F152" s="106"/>
      <c r="G152" s="106"/>
      <c r="H152" s="106"/>
      <c r="I152" s="106"/>
      <c r="J152" s="106"/>
      <c r="K152" s="106"/>
      <c r="L152" s="106"/>
      <c r="M152" s="124"/>
      <c r="N152" s="104" t="s">
        <v>11</v>
      </c>
      <c r="O152" s="105"/>
      <c r="P152" s="107"/>
      <c r="Q152" s="108"/>
      <c r="R152" s="109"/>
      <c r="S152" s="47"/>
      <c r="U152" s="19"/>
      <c r="V152" s="19"/>
      <c r="W152" s="19"/>
      <c r="X152" s="19"/>
      <c r="Y152" s="19"/>
      <c r="Z152" s="19" t="str">
        <f t="shared" ref="Z152:Z162" si="4">N155</f>
        <v>YES</v>
      </c>
      <c r="AA152" s="19"/>
      <c r="AB152" s="19"/>
      <c r="AC152" s="19"/>
      <c r="AD152" s="19"/>
      <c r="AE152" s="19"/>
      <c r="AF152" s="19"/>
      <c r="AG152" s="19"/>
      <c r="AH152" s="19"/>
      <c r="AI152" s="19"/>
      <c r="AJ152" s="19"/>
      <c r="AK152" s="19"/>
    </row>
    <row r="153" spans="3:37" ht="39" customHeight="1" x14ac:dyDescent="0.35">
      <c r="C153" s="29" t="s">
        <v>264</v>
      </c>
      <c r="D153" s="106" t="s">
        <v>330</v>
      </c>
      <c r="E153" s="106"/>
      <c r="F153" s="106"/>
      <c r="G153" s="106"/>
      <c r="H153" s="106"/>
      <c r="I153" s="106"/>
      <c r="J153" s="106"/>
      <c r="K153" s="106"/>
      <c r="L153" s="106"/>
      <c r="M153" s="124"/>
      <c r="N153" s="104" t="s">
        <v>11</v>
      </c>
      <c r="O153" s="105"/>
      <c r="P153" s="107"/>
      <c r="Q153" s="108"/>
      <c r="R153" s="109"/>
      <c r="S153" s="46"/>
      <c r="U153" s="19"/>
      <c r="V153" s="19"/>
      <c r="W153" s="19"/>
      <c r="X153" s="19"/>
      <c r="Y153" s="19"/>
      <c r="Z153" s="19" t="str">
        <f t="shared" si="4"/>
        <v>YES</v>
      </c>
      <c r="AA153" s="19"/>
      <c r="AB153" s="19"/>
      <c r="AC153" s="19"/>
      <c r="AD153" s="19"/>
      <c r="AE153" s="19"/>
      <c r="AF153" s="19"/>
      <c r="AG153" s="19"/>
      <c r="AH153" s="19"/>
      <c r="AI153" s="19"/>
      <c r="AJ153" s="19"/>
      <c r="AK153" s="19"/>
    </row>
    <row r="154" spans="3:37" ht="39" customHeight="1" x14ac:dyDescent="0.35">
      <c r="C154" s="29">
        <v>4</v>
      </c>
      <c r="D154" s="90" t="s">
        <v>331</v>
      </c>
      <c r="E154" s="91"/>
      <c r="F154" s="91"/>
      <c r="G154" s="91"/>
      <c r="H154" s="91"/>
      <c r="I154" s="91"/>
      <c r="J154" s="91"/>
      <c r="K154" s="91"/>
      <c r="L154" s="91"/>
      <c r="M154" s="91"/>
      <c r="N154" s="92"/>
      <c r="O154" s="92"/>
      <c r="P154" s="92"/>
      <c r="Q154" s="92"/>
      <c r="R154" s="92"/>
      <c r="S154" s="68" t="str">
        <f>IF(COUNTA(N155:O165)=0,"",IF(COUNTIF(N155:O165,"No")&gt;=1,"NO",IF(COUNTIF(N155:O165,"SUBMITTED WITH OPEN DEFECTS")&gt;=1,"SUBMITTED WITH OPEN DEFECTS",IF(COUNTIF(N155:O165,"Yes")&gt;=1,"YES","NA"))))</f>
        <v>YES</v>
      </c>
      <c r="U154" s="19"/>
      <c r="V154" s="19"/>
      <c r="W154" s="19"/>
      <c r="X154" s="19"/>
      <c r="Y154" s="19"/>
      <c r="Z154" s="19" t="str">
        <f t="shared" si="4"/>
        <v>YES</v>
      </c>
      <c r="AA154" s="19"/>
      <c r="AB154" s="19"/>
      <c r="AC154" s="19"/>
      <c r="AD154" s="19"/>
      <c r="AE154" s="19"/>
      <c r="AF154" s="19"/>
      <c r="AG154" s="19"/>
      <c r="AH154" s="19"/>
      <c r="AI154" s="19"/>
      <c r="AJ154" s="19"/>
      <c r="AK154" s="19"/>
    </row>
    <row r="155" spans="3:37" ht="81" customHeight="1" x14ac:dyDescent="0.35">
      <c r="C155" s="29" t="s">
        <v>202</v>
      </c>
      <c r="D155" s="106" t="s">
        <v>332</v>
      </c>
      <c r="E155" s="106"/>
      <c r="F155" s="106"/>
      <c r="G155" s="106"/>
      <c r="H155" s="106"/>
      <c r="I155" s="106"/>
      <c r="J155" s="106"/>
      <c r="K155" s="106"/>
      <c r="L155" s="106"/>
      <c r="M155" s="124"/>
      <c r="N155" s="104" t="s">
        <v>11</v>
      </c>
      <c r="O155" s="105"/>
      <c r="P155" s="107"/>
      <c r="Q155" s="108"/>
      <c r="R155" s="109"/>
      <c r="S155" s="43"/>
      <c r="U155" s="19"/>
      <c r="V155" s="19"/>
      <c r="W155" s="19"/>
      <c r="X155" s="19"/>
      <c r="Y155" s="19"/>
      <c r="Z155" s="19" t="str">
        <f t="shared" si="4"/>
        <v>YES</v>
      </c>
      <c r="AA155" s="19"/>
      <c r="AB155" s="19"/>
      <c r="AC155" s="19"/>
      <c r="AD155" s="19"/>
      <c r="AE155" s="19"/>
      <c r="AF155" s="19"/>
      <c r="AG155" s="19"/>
      <c r="AH155" s="19"/>
      <c r="AI155" s="19"/>
      <c r="AJ155" s="19"/>
      <c r="AK155" s="19"/>
    </row>
    <row r="156" spans="3:37" ht="62" customHeight="1" x14ac:dyDescent="0.35">
      <c r="C156" s="29" t="s">
        <v>272</v>
      </c>
      <c r="D156" s="106" t="s">
        <v>333</v>
      </c>
      <c r="E156" s="106"/>
      <c r="F156" s="106"/>
      <c r="G156" s="106"/>
      <c r="H156" s="106"/>
      <c r="I156" s="106"/>
      <c r="J156" s="106"/>
      <c r="K156" s="106"/>
      <c r="L156" s="106"/>
      <c r="M156" s="124"/>
      <c r="N156" s="104" t="s">
        <v>11</v>
      </c>
      <c r="O156" s="105"/>
      <c r="P156" s="107"/>
      <c r="Q156" s="108"/>
      <c r="R156" s="109"/>
      <c r="S156" s="47"/>
      <c r="U156" s="19"/>
      <c r="V156" s="19"/>
      <c r="W156" s="19"/>
      <c r="X156" s="19"/>
      <c r="Y156" s="19"/>
      <c r="Z156" s="19" t="str">
        <f t="shared" si="4"/>
        <v>YES</v>
      </c>
      <c r="AA156" s="19"/>
      <c r="AB156" s="19"/>
      <c r="AC156" s="19"/>
      <c r="AD156" s="19"/>
      <c r="AE156" s="19"/>
      <c r="AF156" s="19"/>
      <c r="AG156" s="19"/>
      <c r="AH156" s="19"/>
      <c r="AI156" s="19"/>
      <c r="AJ156" s="19"/>
      <c r="AK156" s="19"/>
    </row>
    <row r="157" spans="3:37" ht="34.5" customHeight="1" x14ac:dyDescent="0.35">
      <c r="C157" s="29" t="s">
        <v>274</v>
      </c>
      <c r="D157" s="106" t="s">
        <v>334</v>
      </c>
      <c r="E157" s="106"/>
      <c r="F157" s="106"/>
      <c r="G157" s="106"/>
      <c r="H157" s="106"/>
      <c r="I157" s="106"/>
      <c r="J157" s="106"/>
      <c r="K157" s="106"/>
      <c r="L157" s="106"/>
      <c r="M157" s="124"/>
      <c r="N157" s="104" t="s">
        <v>11</v>
      </c>
      <c r="O157" s="105"/>
      <c r="P157" s="107"/>
      <c r="Q157" s="108"/>
      <c r="R157" s="109"/>
      <c r="S157" s="47"/>
      <c r="U157" s="19"/>
      <c r="V157" s="19"/>
      <c r="W157" s="19"/>
      <c r="X157" s="19"/>
      <c r="Y157" s="19"/>
      <c r="Z157" s="19" t="str">
        <f t="shared" si="4"/>
        <v>YES</v>
      </c>
      <c r="AA157" s="19"/>
      <c r="AB157" s="19"/>
      <c r="AC157" s="19"/>
      <c r="AD157" s="19"/>
      <c r="AE157" s="19"/>
      <c r="AF157" s="19"/>
      <c r="AG157" s="19"/>
      <c r="AH157" s="19"/>
      <c r="AI157" s="19"/>
      <c r="AJ157" s="19"/>
      <c r="AK157" s="19"/>
    </row>
    <row r="158" spans="3:37" ht="35.5" customHeight="1" x14ac:dyDescent="0.35">
      <c r="C158" s="29" t="s">
        <v>276</v>
      </c>
      <c r="D158" s="106" t="s">
        <v>335</v>
      </c>
      <c r="E158" s="106"/>
      <c r="F158" s="106"/>
      <c r="G158" s="106"/>
      <c r="H158" s="106"/>
      <c r="I158" s="106"/>
      <c r="J158" s="106"/>
      <c r="K158" s="106"/>
      <c r="L158" s="106"/>
      <c r="M158" s="124"/>
      <c r="N158" s="104" t="s">
        <v>11</v>
      </c>
      <c r="O158" s="105"/>
      <c r="P158" s="107"/>
      <c r="Q158" s="108"/>
      <c r="R158" s="109"/>
      <c r="S158" s="47"/>
      <c r="U158" s="19"/>
      <c r="V158" s="19"/>
      <c r="W158" s="19"/>
      <c r="X158" s="19"/>
      <c r="Y158" s="19"/>
      <c r="Z158" s="19" t="str">
        <f t="shared" si="4"/>
        <v>YES</v>
      </c>
      <c r="AA158" s="19"/>
      <c r="AB158" s="19"/>
      <c r="AC158" s="19"/>
      <c r="AD158" s="19"/>
      <c r="AE158" s="19"/>
      <c r="AF158" s="19"/>
      <c r="AG158" s="19"/>
      <c r="AH158" s="19"/>
      <c r="AI158" s="19"/>
      <c r="AJ158" s="19"/>
      <c r="AK158" s="19"/>
    </row>
    <row r="159" spans="3:37" ht="67.5" customHeight="1" x14ac:dyDescent="0.35">
      <c r="C159" s="29" t="s">
        <v>278</v>
      </c>
      <c r="D159" s="106" t="s">
        <v>336</v>
      </c>
      <c r="E159" s="106"/>
      <c r="F159" s="106"/>
      <c r="G159" s="106"/>
      <c r="H159" s="106"/>
      <c r="I159" s="106"/>
      <c r="J159" s="106"/>
      <c r="K159" s="106"/>
      <c r="L159" s="106"/>
      <c r="M159" s="124"/>
      <c r="N159" s="104" t="s">
        <v>11</v>
      </c>
      <c r="O159" s="105"/>
      <c r="P159" s="107"/>
      <c r="Q159" s="108"/>
      <c r="R159" s="109"/>
      <c r="S159" s="47"/>
      <c r="U159" s="19"/>
      <c r="V159" s="19"/>
      <c r="W159" s="19"/>
      <c r="X159" s="19"/>
      <c r="Y159" s="19"/>
      <c r="Z159" s="19" t="str">
        <f t="shared" si="4"/>
        <v>YES</v>
      </c>
      <c r="AA159" s="19"/>
      <c r="AB159" s="19"/>
      <c r="AC159" s="19"/>
      <c r="AD159" s="19"/>
      <c r="AE159" s="19"/>
      <c r="AF159" s="19"/>
      <c r="AG159" s="19"/>
      <c r="AH159" s="19"/>
      <c r="AI159" s="19"/>
      <c r="AJ159" s="19"/>
      <c r="AK159" s="19"/>
    </row>
    <row r="160" spans="3:37" ht="39" customHeight="1" x14ac:dyDescent="0.35">
      <c r="C160" s="29" t="s">
        <v>280</v>
      </c>
      <c r="D160" s="106" t="s">
        <v>337</v>
      </c>
      <c r="E160" s="106"/>
      <c r="F160" s="106"/>
      <c r="G160" s="106"/>
      <c r="H160" s="106"/>
      <c r="I160" s="106"/>
      <c r="J160" s="106"/>
      <c r="K160" s="106"/>
      <c r="L160" s="106"/>
      <c r="M160" s="124"/>
      <c r="N160" s="104" t="s">
        <v>11</v>
      </c>
      <c r="O160" s="105"/>
      <c r="P160" s="107"/>
      <c r="Q160" s="108"/>
      <c r="R160" s="109"/>
      <c r="S160" s="47"/>
      <c r="U160" s="19"/>
      <c r="V160" s="19"/>
      <c r="W160" s="19"/>
      <c r="X160" s="19"/>
      <c r="Y160" s="19"/>
      <c r="Z160" s="19" t="str">
        <f t="shared" si="4"/>
        <v>YES</v>
      </c>
      <c r="AA160" s="19"/>
      <c r="AB160" s="19"/>
      <c r="AC160" s="19"/>
      <c r="AD160" s="19"/>
      <c r="AE160" s="19"/>
      <c r="AF160" s="19"/>
      <c r="AG160" s="19"/>
      <c r="AH160" s="19"/>
      <c r="AI160" s="19"/>
      <c r="AJ160" s="19"/>
      <c r="AK160" s="19"/>
    </row>
    <row r="161" spans="3:37" ht="39" customHeight="1" x14ac:dyDescent="0.35">
      <c r="C161" s="29" t="s">
        <v>282</v>
      </c>
      <c r="D161" s="106" t="s">
        <v>338</v>
      </c>
      <c r="E161" s="106"/>
      <c r="F161" s="106"/>
      <c r="G161" s="106"/>
      <c r="H161" s="106"/>
      <c r="I161" s="106"/>
      <c r="J161" s="106"/>
      <c r="K161" s="106"/>
      <c r="L161" s="106"/>
      <c r="M161" s="124"/>
      <c r="N161" s="104" t="s">
        <v>11</v>
      </c>
      <c r="O161" s="105"/>
      <c r="P161" s="107"/>
      <c r="Q161" s="108"/>
      <c r="R161" s="109"/>
      <c r="S161" s="47"/>
      <c r="U161" s="19"/>
      <c r="V161" s="19"/>
      <c r="W161" s="19"/>
      <c r="X161" s="19"/>
      <c r="Y161" s="19"/>
      <c r="Z161" s="19" t="str">
        <f t="shared" si="4"/>
        <v>YES</v>
      </c>
      <c r="AA161" s="19"/>
      <c r="AB161" s="19"/>
      <c r="AC161" s="19"/>
      <c r="AD161" s="19"/>
      <c r="AE161" s="19"/>
      <c r="AF161" s="19"/>
      <c r="AG161" s="19"/>
      <c r="AH161" s="19"/>
      <c r="AI161" s="19"/>
      <c r="AJ161" s="19"/>
      <c r="AK161" s="19"/>
    </row>
    <row r="162" spans="3:37" ht="39" customHeight="1" x14ac:dyDescent="0.35">
      <c r="C162" s="29" t="s">
        <v>339</v>
      </c>
      <c r="D162" s="106" t="s">
        <v>340</v>
      </c>
      <c r="E162" s="106"/>
      <c r="F162" s="106"/>
      <c r="G162" s="106"/>
      <c r="H162" s="106"/>
      <c r="I162" s="106"/>
      <c r="J162" s="106"/>
      <c r="K162" s="106"/>
      <c r="L162" s="106"/>
      <c r="M162" s="124"/>
      <c r="N162" s="104" t="s">
        <v>11</v>
      </c>
      <c r="O162" s="105"/>
      <c r="P162" s="107"/>
      <c r="Q162" s="108"/>
      <c r="R162" s="109"/>
      <c r="S162" s="47"/>
      <c r="U162" s="19"/>
      <c r="V162" s="19"/>
      <c r="W162" s="19"/>
      <c r="X162" s="19"/>
      <c r="Y162" s="19"/>
      <c r="Z162" s="19" t="str">
        <f t="shared" si="4"/>
        <v>YES</v>
      </c>
      <c r="AA162" s="19"/>
      <c r="AB162" s="19"/>
      <c r="AC162" s="19"/>
      <c r="AD162" s="19"/>
      <c r="AE162" s="19"/>
      <c r="AF162" s="19"/>
      <c r="AG162" s="19"/>
      <c r="AH162" s="19"/>
      <c r="AI162" s="19"/>
      <c r="AJ162" s="19"/>
      <c r="AK162" s="19"/>
    </row>
    <row r="163" spans="3:37" ht="39" customHeight="1" x14ac:dyDescent="0.35">
      <c r="C163" s="29" t="s">
        <v>341</v>
      </c>
      <c r="D163" s="106" t="s">
        <v>342</v>
      </c>
      <c r="E163" s="106"/>
      <c r="F163" s="106"/>
      <c r="G163" s="106"/>
      <c r="H163" s="106"/>
      <c r="I163" s="106"/>
      <c r="J163" s="106"/>
      <c r="K163" s="106"/>
      <c r="L163" s="106"/>
      <c r="M163" s="124"/>
      <c r="N163" s="104" t="s">
        <v>11</v>
      </c>
      <c r="O163" s="105"/>
      <c r="P163" s="107"/>
      <c r="Q163" s="108"/>
      <c r="R163" s="109"/>
      <c r="S163" s="47"/>
      <c r="U163" s="19"/>
      <c r="V163" s="19"/>
      <c r="W163" s="19"/>
      <c r="X163" s="19"/>
      <c r="Y163" s="19"/>
      <c r="Z163" s="19" t="str">
        <f>N167</f>
        <v>YES</v>
      </c>
      <c r="AA163" s="19"/>
      <c r="AB163" s="19"/>
      <c r="AC163" s="19"/>
      <c r="AD163" s="19"/>
      <c r="AE163" s="19"/>
      <c r="AF163" s="19"/>
      <c r="AG163" s="19"/>
      <c r="AH163" s="19"/>
      <c r="AI163" s="19"/>
      <c r="AJ163" s="19"/>
      <c r="AK163" s="19"/>
    </row>
    <row r="164" spans="3:37" ht="39" customHeight="1" x14ac:dyDescent="0.35">
      <c r="C164" s="29" t="s">
        <v>343</v>
      </c>
      <c r="D164" s="106" t="s">
        <v>344</v>
      </c>
      <c r="E164" s="106"/>
      <c r="F164" s="106"/>
      <c r="G164" s="106"/>
      <c r="H164" s="106"/>
      <c r="I164" s="106"/>
      <c r="J164" s="106"/>
      <c r="K164" s="106"/>
      <c r="L164" s="106"/>
      <c r="M164" s="124"/>
      <c r="N164" s="104" t="s">
        <v>11</v>
      </c>
      <c r="O164" s="105"/>
      <c r="P164" s="107"/>
      <c r="Q164" s="108"/>
      <c r="R164" s="109"/>
      <c r="S164" s="47"/>
      <c r="U164" s="19"/>
      <c r="V164" s="19"/>
      <c r="W164" s="19"/>
      <c r="X164" s="19"/>
      <c r="Y164" s="19"/>
      <c r="Z164" s="19" t="str">
        <f>N168</f>
        <v>YES</v>
      </c>
      <c r="AA164" s="19"/>
      <c r="AB164" s="19"/>
      <c r="AC164" s="19"/>
      <c r="AD164" s="19"/>
      <c r="AE164" s="19"/>
      <c r="AF164" s="19"/>
      <c r="AG164" s="19"/>
      <c r="AH164" s="19"/>
      <c r="AI164" s="19"/>
      <c r="AJ164" s="19"/>
      <c r="AK164" s="19"/>
    </row>
    <row r="165" spans="3:37" ht="39" customHeight="1" x14ac:dyDescent="0.35">
      <c r="C165" s="29" t="s">
        <v>345</v>
      </c>
      <c r="D165" s="106" t="s">
        <v>501</v>
      </c>
      <c r="E165" s="106"/>
      <c r="F165" s="106"/>
      <c r="G165" s="106"/>
      <c r="H165" s="106"/>
      <c r="I165" s="106"/>
      <c r="J165" s="106"/>
      <c r="K165" s="106"/>
      <c r="L165" s="106"/>
      <c r="M165" s="124"/>
      <c r="N165" s="104" t="s">
        <v>11</v>
      </c>
      <c r="O165" s="105"/>
      <c r="P165" s="107"/>
      <c r="Q165" s="108"/>
      <c r="R165" s="109"/>
      <c r="S165" s="46"/>
      <c r="U165" s="19"/>
      <c r="V165" s="19"/>
      <c r="W165" s="19"/>
      <c r="X165" s="19"/>
      <c r="Y165" s="19"/>
      <c r="Z165" s="19" t="str">
        <f>N169</f>
        <v>YES</v>
      </c>
      <c r="AA165" s="19"/>
      <c r="AB165" s="19"/>
      <c r="AC165" s="19"/>
      <c r="AD165" s="19"/>
      <c r="AE165" s="19"/>
      <c r="AF165" s="19"/>
      <c r="AG165" s="19"/>
      <c r="AH165" s="19"/>
      <c r="AI165" s="19"/>
      <c r="AJ165" s="19"/>
      <c r="AK165" s="19"/>
    </row>
    <row r="166" spans="3:37" ht="39" customHeight="1" x14ac:dyDescent="0.35">
      <c r="C166" s="29">
        <v>5</v>
      </c>
      <c r="D166" s="90" t="s">
        <v>346</v>
      </c>
      <c r="E166" s="91"/>
      <c r="F166" s="91"/>
      <c r="G166" s="91"/>
      <c r="H166" s="91"/>
      <c r="I166" s="91"/>
      <c r="J166" s="91"/>
      <c r="K166" s="91"/>
      <c r="L166" s="91"/>
      <c r="M166" s="91"/>
      <c r="N166" s="92"/>
      <c r="O166" s="92"/>
      <c r="P166" s="92"/>
      <c r="Q166" s="92"/>
      <c r="R166" s="92"/>
      <c r="S166" s="68" t="str">
        <f>IF(COUNTA(N167:O169)=0,"",IF(COUNTIF(N167:O169,"No")&gt;=1,"NO",IF(COUNTIF(N167:O169,"SUBMITTED WITH OPEN DEFECTS")&gt;=1,"SUBMITTED WITH OPEN DEFECTS",IF(COUNTIF(N167:O169,"Yes")&gt;=1,"YES","NA"))))</f>
        <v>YES</v>
      </c>
      <c r="U166" s="19"/>
      <c r="V166" s="19"/>
      <c r="W166" s="19"/>
      <c r="X166" s="19"/>
      <c r="Y166" s="19"/>
      <c r="Z166" s="19" t="str">
        <f>N171</f>
        <v>YES</v>
      </c>
      <c r="AA166" s="19"/>
      <c r="AB166" s="19"/>
      <c r="AC166" s="19"/>
      <c r="AD166" s="19"/>
      <c r="AE166" s="19"/>
      <c r="AF166" s="19"/>
      <c r="AG166" s="19"/>
      <c r="AH166" s="19"/>
      <c r="AI166" s="19"/>
      <c r="AJ166" s="19"/>
      <c r="AK166" s="19"/>
    </row>
    <row r="167" spans="3:37" ht="69" customHeight="1" x14ac:dyDescent="0.35">
      <c r="C167" s="29" t="s">
        <v>204</v>
      </c>
      <c r="D167" s="106" t="s">
        <v>347</v>
      </c>
      <c r="E167" s="106"/>
      <c r="F167" s="106"/>
      <c r="G167" s="106"/>
      <c r="H167" s="106"/>
      <c r="I167" s="106"/>
      <c r="J167" s="106"/>
      <c r="K167" s="106"/>
      <c r="L167" s="106"/>
      <c r="M167" s="106"/>
      <c r="N167" s="104" t="s">
        <v>11</v>
      </c>
      <c r="O167" s="105"/>
      <c r="P167" s="107"/>
      <c r="Q167" s="108"/>
      <c r="R167" s="109"/>
      <c r="S167" s="43"/>
      <c r="U167" s="19"/>
      <c r="V167" s="19"/>
      <c r="W167" s="19"/>
      <c r="X167" s="19"/>
      <c r="Y167" s="19"/>
      <c r="Z167" s="19" t="str">
        <f>N173</f>
        <v>YES</v>
      </c>
      <c r="AA167" s="19"/>
      <c r="AB167" s="19"/>
      <c r="AC167" s="19"/>
      <c r="AD167" s="19"/>
      <c r="AE167" s="19"/>
      <c r="AF167" s="19"/>
      <c r="AG167" s="19"/>
      <c r="AH167" s="19"/>
      <c r="AI167" s="19"/>
      <c r="AJ167" s="19"/>
      <c r="AK167" s="19"/>
    </row>
    <row r="168" spans="3:37" ht="51" customHeight="1" x14ac:dyDescent="0.35">
      <c r="C168" s="29" t="s">
        <v>225</v>
      </c>
      <c r="D168" s="106" t="s">
        <v>348</v>
      </c>
      <c r="E168" s="106"/>
      <c r="F168" s="106"/>
      <c r="G168" s="106"/>
      <c r="H168" s="106"/>
      <c r="I168" s="106"/>
      <c r="J168" s="106"/>
      <c r="K168" s="106"/>
      <c r="L168" s="106"/>
      <c r="M168" s="124"/>
      <c r="N168" s="104" t="s">
        <v>11</v>
      </c>
      <c r="O168" s="105"/>
      <c r="P168" s="107"/>
      <c r="Q168" s="108"/>
      <c r="R168" s="109"/>
      <c r="S168" s="47"/>
      <c r="U168" s="19"/>
      <c r="V168" s="19"/>
      <c r="W168" s="19"/>
      <c r="X168" s="19"/>
      <c r="Y168" s="19"/>
      <c r="Z168" s="19" t="str">
        <f>N174</f>
        <v>YES</v>
      </c>
      <c r="AA168" s="19"/>
      <c r="AB168" s="19"/>
      <c r="AC168" s="19"/>
      <c r="AD168" s="19"/>
      <c r="AE168" s="19"/>
      <c r="AF168" s="19"/>
      <c r="AG168" s="19"/>
      <c r="AH168" s="19"/>
      <c r="AI168" s="19"/>
      <c r="AJ168" s="19"/>
      <c r="AK168" s="19"/>
    </row>
    <row r="169" spans="3:37" ht="212.5" customHeight="1" x14ac:dyDescent="0.35">
      <c r="C169" s="29" t="s">
        <v>226</v>
      </c>
      <c r="D169" s="106" t="s">
        <v>349</v>
      </c>
      <c r="E169" s="106"/>
      <c r="F169" s="106"/>
      <c r="G169" s="106"/>
      <c r="H169" s="106"/>
      <c r="I169" s="106"/>
      <c r="J169" s="106"/>
      <c r="K169" s="106"/>
      <c r="L169" s="106"/>
      <c r="M169" s="124"/>
      <c r="N169" s="104" t="s">
        <v>11</v>
      </c>
      <c r="O169" s="105"/>
      <c r="P169" s="107"/>
      <c r="Q169" s="108"/>
      <c r="R169" s="109"/>
      <c r="S169" s="46"/>
      <c r="U169" s="19"/>
      <c r="V169" s="19"/>
      <c r="W169" s="19"/>
      <c r="X169" s="19"/>
      <c r="Y169" s="19"/>
      <c r="Z169" s="19" t="str">
        <f>N175</f>
        <v>YES</v>
      </c>
      <c r="AA169" s="19"/>
      <c r="AB169" s="19"/>
      <c r="AC169" s="19"/>
      <c r="AD169" s="19"/>
      <c r="AE169" s="19"/>
      <c r="AF169" s="19"/>
      <c r="AG169" s="19"/>
      <c r="AH169" s="19"/>
      <c r="AI169" s="19"/>
      <c r="AJ169" s="19"/>
      <c r="AK169" s="19"/>
    </row>
    <row r="170" spans="3:37" ht="39" customHeight="1" x14ac:dyDescent="0.35">
      <c r="C170" s="29">
        <v>6</v>
      </c>
      <c r="D170" s="90" t="s">
        <v>350</v>
      </c>
      <c r="E170" s="91"/>
      <c r="F170" s="91"/>
      <c r="G170" s="91"/>
      <c r="H170" s="91"/>
      <c r="I170" s="91"/>
      <c r="J170" s="91"/>
      <c r="K170" s="91"/>
      <c r="L170" s="91"/>
      <c r="M170" s="91"/>
      <c r="N170" s="92"/>
      <c r="O170" s="92"/>
      <c r="P170" s="92"/>
      <c r="Q170" s="92"/>
      <c r="R170" s="92"/>
      <c r="S170" s="68" t="str">
        <f>IF(N171="","",N171)</f>
        <v>YES</v>
      </c>
      <c r="U170" s="19"/>
      <c r="V170" s="19"/>
      <c r="W170" s="19"/>
      <c r="X170" s="19"/>
      <c r="Y170" s="19"/>
      <c r="Z170" s="73">
        <f>E180</f>
        <v>45539</v>
      </c>
      <c r="AA170" s="19"/>
      <c r="AB170" s="19"/>
      <c r="AC170" s="19"/>
      <c r="AD170" s="19"/>
      <c r="AE170" s="19"/>
      <c r="AF170" s="19"/>
      <c r="AG170" s="19"/>
      <c r="AH170" s="19"/>
      <c r="AI170" s="19"/>
      <c r="AJ170" s="19"/>
      <c r="AK170" s="19"/>
    </row>
    <row r="171" spans="3:37" ht="66.5" customHeight="1" x14ac:dyDescent="0.35">
      <c r="C171" s="29" t="s">
        <v>205</v>
      </c>
      <c r="D171" s="106" t="s">
        <v>351</v>
      </c>
      <c r="E171" s="106"/>
      <c r="F171" s="106"/>
      <c r="G171" s="106"/>
      <c r="H171" s="106"/>
      <c r="I171" s="106"/>
      <c r="J171" s="106"/>
      <c r="K171" s="106"/>
      <c r="L171" s="106"/>
      <c r="M171" s="124"/>
      <c r="N171" s="104" t="s">
        <v>11</v>
      </c>
      <c r="O171" s="105"/>
      <c r="P171" s="107"/>
      <c r="Q171" s="108"/>
      <c r="R171" s="109"/>
      <c r="S171" s="16"/>
      <c r="U171" s="19"/>
      <c r="V171" s="19"/>
      <c r="W171" s="19"/>
      <c r="X171" s="19"/>
      <c r="Y171" s="19"/>
      <c r="AA171" s="19"/>
      <c r="AB171" s="19"/>
      <c r="AC171" s="19"/>
      <c r="AD171" s="19"/>
      <c r="AE171" s="19"/>
      <c r="AF171" s="19"/>
      <c r="AG171" s="19"/>
      <c r="AH171" s="19"/>
      <c r="AI171" s="19"/>
      <c r="AJ171" s="19"/>
      <c r="AK171" s="19"/>
    </row>
    <row r="172" spans="3:37" ht="39" customHeight="1" x14ac:dyDescent="0.35">
      <c r="C172" s="29">
        <v>7</v>
      </c>
      <c r="D172" s="90" t="s">
        <v>352</v>
      </c>
      <c r="E172" s="91"/>
      <c r="F172" s="91"/>
      <c r="G172" s="91"/>
      <c r="H172" s="91"/>
      <c r="I172" s="91"/>
      <c r="J172" s="91"/>
      <c r="K172" s="91"/>
      <c r="L172" s="91"/>
      <c r="M172" s="91"/>
      <c r="N172" s="92"/>
      <c r="O172" s="92"/>
      <c r="P172" s="92"/>
      <c r="Q172" s="92"/>
      <c r="R172" s="92"/>
      <c r="S172" s="68" t="str">
        <f>IF(COUNTA(N173:O175)=0,"",IF(COUNTIF(N173:O175,"No")&gt;=1,"NO",IF(COUNTIF(N173:O175,"SUBMITTED WITH OPEN DEFECTS")&gt;=1,"SUBMITTED WITH OPEN DEFECTS",IF(COUNTIF(N173:O175,"Yes")&gt;=1,"YES","NA"))))</f>
        <v>YES</v>
      </c>
      <c r="U172" s="19"/>
      <c r="V172" s="19"/>
      <c r="W172" s="19"/>
      <c r="X172" s="19"/>
      <c r="Y172" s="19"/>
      <c r="Z172" s="19"/>
      <c r="AA172" s="19"/>
      <c r="AB172" s="19"/>
      <c r="AC172" s="19"/>
      <c r="AD172" s="19"/>
      <c r="AE172" s="19"/>
      <c r="AF172" s="19"/>
      <c r="AG172" s="19"/>
      <c r="AH172" s="19"/>
      <c r="AI172" s="19"/>
      <c r="AJ172" s="19"/>
      <c r="AK172" s="19"/>
    </row>
    <row r="173" spans="3:37" ht="39" customHeight="1" x14ac:dyDescent="0.35">
      <c r="C173" s="29" t="s">
        <v>212</v>
      </c>
      <c r="D173" s="106" t="s">
        <v>353</v>
      </c>
      <c r="E173" s="106"/>
      <c r="F173" s="106"/>
      <c r="G173" s="106"/>
      <c r="H173" s="106"/>
      <c r="I173" s="106"/>
      <c r="J173" s="106"/>
      <c r="K173" s="106"/>
      <c r="L173" s="106"/>
      <c r="M173" s="124"/>
      <c r="N173" s="104" t="s">
        <v>11</v>
      </c>
      <c r="O173" s="105"/>
      <c r="P173" s="107"/>
      <c r="Q173" s="108"/>
      <c r="R173" s="109"/>
      <c r="S173" s="43"/>
      <c r="U173" s="19"/>
      <c r="V173" s="19"/>
      <c r="W173" s="19"/>
      <c r="X173" s="19"/>
      <c r="Y173" s="19"/>
      <c r="AA173" s="19"/>
      <c r="AB173" s="19"/>
      <c r="AC173" s="19"/>
      <c r="AD173" s="19"/>
      <c r="AE173" s="19"/>
      <c r="AF173" s="19"/>
      <c r="AG173" s="19"/>
      <c r="AH173" s="19"/>
      <c r="AI173" s="19"/>
      <c r="AJ173" s="19"/>
      <c r="AK173" s="19"/>
    </row>
    <row r="174" spans="3:37" ht="39" customHeight="1" x14ac:dyDescent="0.35">
      <c r="C174" s="29" t="s">
        <v>227</v>
      </c>
      <c r="D174" s="106" t="s">
        <v>354</v>
      </c>
      <c r="E174" s="106"/>
      <c r="F174" s="106"/>
      <c r="G174" s="106"/>
      <c r="H174" s="106"/>
      <c r="I174" s="106"/>
      <c r="J174" s="106"/>
      <c r="K174" s="106"/>
      <c r="L174" s="106"/>
      <c r="M174" s="124"/>
      <c r="N174" s="104" t="s">
        <v>11</v>
      </c>
      <c r="O174" s="105"/>
      <c r="P174" s="107"/>
      <c r="Q174" s="108"/>
      <c r="R174" s="109"/>
      <c r="S174" s="47"/>
      <c r="U174" s="19"/>
      <c r="V174" s="19"/>
      <c r="W174" s="19"/>
      <c r="X174" s="19"/>
      <c r="Y174" s="19"/>
      <c r="AA174" s="19"/>
      <c r="AB174" s="19"/>
      <c r="AC174" s="19"/>
      <c r="AD174" s="19"/>
      <c r="AE174" s="19"/>
      <c r="AF174" s="19"/>
      <c r="AG174" s="19"/>
      <c r="AH174" s="19"/>
      <c r="AI174" s="19"/>
      <c r="AJ174" s="19"/>
      <c r="AK174" s="19"/>
    </row>
    <row r="175" spans="3:37" ht="39" customHeight="1" x14ac:dyDescent="0.35">
      <c r="C175" s="29" t="s">
        <v>228</v>
      </c>
      <c r="D175" s="106" t="s">
        <v>355</v>
      </c>
      <c r="E175" s="106"/>
      <c r="F175" s="106"/>
      <c r="G175" s="106"/>
      <c r="H175" s="106"/>
      <c r="I175" s="106"/>
      <c r="J175" s="106"/>
      <c r="K175" s="106"/>
      <c r="L175" s="106"/>
      <c r="M175" s="124"/>
      <c r="N175" s="104" t="s">
        <v>11</v>
      </c>
      <c r="O175" s="105"/>
      <c r="P175" s="107"/>
      <c r="Q175" s="108"/>
      <c r="R175" s="109"/>
      <c r="S175" s="47"/>
      <c r="U175" s="19"/>
      <c r="V175" s="19"/>
      <c r="W175" s="19"/>
      <c r="X175" s="19"/>
      <c r="Y175" s="19"/>
      <c r="AA175" s="19"/>
      <c r="AB175" s="19"/>
      <c r="AC175" s="19"/>
      <c r="AD175" s="19"/>
      <c r="AE175" s="19"/>
      <c r="AF175" s="19"/>
      <c r="AG175" s="19"/>
      <c r="AH175" s="19"/>
      <c r="AI175" s="19"/>
      <c r="AJ175" s="19"/>
      <c r="AK175" s="19"/>
    </row>
    <row r="176" spans="3:37" ht="23" hidden="1" customHeight="1" x14ac:dyDescent="0.35">
      <c r="C176" s="29">
        <v>8</v>
      </c>
      <c r="D176" s="106" t="s">
        <v>217</v>
      </c>
      <c r="E176" s="106"/>
      <c r="F176" s="106"/>
      <c r="G176" s="106"/>
      <c r="H176" s="106"/>
      <c r="I176" s="106"/>
      <c r="J176" s="106"/>
      <c r="K176" s="106"/>
      <c r="L176" s="106"/>
      <c r="M176" s="124"/>
      <c r="N176" s="156"/>
      <c r="O176" s="105"/>
      <c r="P176" s="115" t="s">
        <v>514</v>
      </c>
      <c r="Q176" s="115"/>
      <c r="R176" s="115"/>
      <c r="S176" s="46"/>
      <c r="U176" s="19"/>
      <c r="V176" s="19"/>
      <c r="W176" s="19"/>
      <c r="X176" s="19"/>
      <c r="Y176" s="19"/>
      <c r="AA176" s="19"/>
      <c r="AB176" s="19"/>
      <c r="AC176" s="19"/>
      <c r="AD176" s="19"/>
      <c r="AE176" s="19"/>
      <c r="AF176" s="19"/>
      <c r="AG176" s="19"/>
      <c r="AH176" s="19"/>
      <c r="AI176" s="19"/>
      <c r="AJ176" s="19"/>
      <c r="AK176" s="19"/>
    </row>
    <row r="177" spans="3:37" ht="34" customHeight="1" x14ac:dyDescent="0.35">
      <c r="C177" s="151" t="s">
        <v>230</v>
      </c>
      <c r="D177" s="152"/>
      <c r="E177" s="153"/>
      <c r="F177" s="150"/>
      <c r="G177" s="150"/>
      <c r="H177" s="150"/>
      <c r="I177" s="150"/>
      <c r="J177" s="150"/>
      <c r="K177" s="150"/>
      <c r="L177" s="150"/>
      <c r="M177" s="150"/>
      <c r="N177" s="150"/>
      <c r="O177" s="150"/>
      <c r="P177" s="150"/>
      <c r="Q177" s="150"/>
      <c r="R177" s="150"/>
      <c r="S177" s="7"/>
      <c r="U177" s="19"/>
      <c r="V177" s="19"/>
      <c r="W177" s="19"/>
      <c r="X177" s="19"/>
      <c r="Y177" s="19"/>
      <c r="Z177" s="19"/>
      <c r="AA177" s="19"/>
      <c r="AB177" s="19"/>
      <c r="AC177" s="19"/>
      <c r="AD177" s="19"/>
      <c r="AE177" s="19"/>
      <c r="AF177" s="19"/>
      <c r="AG177" s="19"/>
      <c r="AH177" s="19"/>
      <c r="AI177" s="19"/>
      <c r="AJ177" s="19"/>
      <c r="AK177" s="19"/>
    </row>
    <row r="178" spans="3:37" ht="30.5" customHeight="1" x14ac:dyDescent="0.35">
      <c r="C178" s="135" t="s">
        <v>530</v>
      </c>
      <c r="D178" s="136"/>
      <c r="E178" s="136"/>
      <c r="F178" s="136"/>
      <c r="G178" s="136"/>
      <c r="H178" s="136"/>
      <c r="I178" s="136"/>
      <c r="J178" s="136"/>
      <c r="K178" s="136"/>
      <c r="L178" s="136"/>
      <c r="M178" s="136"/>
      <c r="N178" s="136"/>
      <c r="O178" s="136"/>
      <c r="P178" s="136"/>
      <c r="Q178" s="136"/>
      <c r="R178" s="136"/>
      <c r="S178" s="7"/>
      <c r="U178" s="19"/>
      <c r="V178" s="19"/>
      <c r="W178" s="19"/>
      <c r="X178" s="19"/>
      <c r="Y178" s="19"/>
      <c r="Z178" s="19"/>
      <c r="AA178" s="19"/>
      <c r="AB178" s="19"/>
      <c r="AC178" s="19"/>
      <c r="AD178" s="19"/>
      <c r="AE178" s="19"/>
      <c r="AF178" s="19"/>
      <c r="AG178" s="19"/>
      <c r="AH178" s="19"/>
      <c r="AI178" s="19"/>
      <c r="AJ178" s="19"/>
      <c r="AK178" s="19"/>
    </row>
    <row r="179" spans="3:37" ht="34" customHeight="1" x14ac:dyDescent="0.35">
      <c r="C179" s="154" t="s">
        <v>232</v>
      </c>
      <c r="D179" s="155"/>
      <c r="E179" s="75" t="s">
        <v>524</v>
      </c>
      <c r="F179" s="122" t="s">
        <v>233</v>
      </c>
      <c r="G179" s="122"/>
      <c r="H179" s="122" t="s">
        <v>234</v>
      </c>
      <c r="I179" s="122"/>
      <c r="J179" s="122" t="s">
        <v>235</v>
      </c>
      <c r="K179" s="122"/>
      <c r="L179" s="122" t="s">
        <v>236</v>
      </c>
      <c r="M179" s="122"/>
      <c r="N179" s="122"/>
      <c r="O179" s="122"/>
      <c r="P179" s="122" t="s">
        <v>237</v>
      </c>
      <c r="Q179" s="122"/>
      <c r="R179" s="122"/>
      <c r="S179" s="7"/>
      <c r="U179" s="19"/>
      <c r="V179" s="19"/>
      <c r="W179" s="19"/>
      <c r="X179" s="19"/>
      <c r="Y179" s="19"/>
      <c r="Z179" s="19"/>
      <c r="AA179" s="19"/>
      <c r="AB179" s="19"/>
      <c r="AC179" s="19"/>
      <c r="AD179" s="19"/>
      <c r="AE179" s="19"/>
      <c r="AF179" s="19"/>
      <c r="AG179" s="19"/>
      <c r="AH179" s="19"/>
      <c r="AI179" s="19"/>
      <c r="AJ179" s="19"/>
      <c r="AK179" s="19"/>
    </row>
    <row r="180" spans="3:37" ht="36.5" customHeight="1" x14ac:dyDescent="0.35">
      <c r="C180" s="154" t="s">
        <v>534</v>
      </c>
      <c r="D180" s="155"/>
      <c r="E180" s="76">
        <v>45539</v>
      </c>
      <c r="F180" s="137" t="s">
        <v>12</v>
      </c>
      <c r="G180" s="137"/>
      <c r="H180" s="138">
        <v>45539</v>
      </c>
      <c r="I180" s="139"/>
      <c r="J180" s="140" t="str">
        <f>IF(COUNTA(Z144:Z170)=0,"",IF(COUNTIF(Z144:Z170,"No")&gt;=1,"Defects Raised",IF(COUNTIF(Z144:Z170,"Yes")&gt;=1,"No Defects","")))</f>
        <v>No Defects</v>
      </c>
      <c r="K180" s="140"/>
      <c r="L180" s="139" t="s">
        <v>26</v>
      </c>
      <c r="M180" s="139"/>
      <c r="N180" s="139"/>
      <c r="O180" s="139"/>
      <c r="P180" s="141"/>
      <c r="Q180" s="141"/>
      <c r="R180" s="141"/>
      <c r="S180" s="7"/>
      <c r="U180" s="19"/>
      <c r="V180" s="19"/>
      <c r="W180" s="19"/>
      <c r="X180" s="19"/>
      <c r="Y180" s="19"/>
      <c r="Z180" s="19"/>
      <c r="AA180" s="19"/>
      <c r="AB180" s="19"/>
      <c r="AC180" s="19"/>
      <c r="AD180" s="19"/>
      <c r="AE180" s="19"/>
      <c r="AF180" s="19"/>
      <c r="AG180" s="19"/>
      <c r="AH180" s="19"/>
      <c r="AI180" s="19"/>
      <c r="AJ180" s="19"/>
      <c r="AK180" s="19"/>
    </row>
    <row r="181" spans="3:37" ht="36.5" customHeight="1" x14ac:dyDescent="0.35">
      <c r="C181" s="144" t="s">
        <v>531</v>
      </c>
      <c r="D181" s="145"/>
      <c r="E181" s="145"/>
      <c r="F181" s="145"/>
      <c r="G181" s="145"/>
      <c r="H181" s="145"/>
      <c r="I181" s="145"/>
      <c r="J181" s="145"/>
      <c r="K181" s="145"/>
      <c r="L181" s="145"/>
      <c r="M181" s="146"/>
      <c r="N181" s="147" t="s">
        <v>321</v>
      </c>
      <c r="O181" s="148"/>
      <c r="P181" s="147"/>
      <c r="Q181" s="149"/>
      <c r="R181" s="148"/>
      <c r="S181" s="68" t="str">
        <f>IF(COUNTA(N182:O185)=0,"",IF(COUNTIF(N182:O185,"No")&gt;=1,"NO",IF(COUNTIF(N182:O185,"SUBMITTED WITH OPEN DEFECTS")&gt;=1,"SUBMITTED WITH OPEN DEFECTS",IF(COUNTIF(N182:O185,"Yes")&gt;=1,"YES","NA"))))</f>
        <v>YES</v>
      </c>
      <c r="T181" s="18">
        <v>5</v>
      </c>
      <c r="U181" s="19"/>
      <c r="V181" s="19"/>
      <c r="W181" s="19"/>
      <c r="X181" s="19"/>
      <c r="Y181" s="19"/>
      <c r="Z181" s="19"/>
      <c r="AA181" s="19"/>
      <c r="AB181" s="19"/>
      <c r="AC181" s="19"/>
      <c r="AD181" s="19"/>
      <c r="AE181" s="19"/>
      <c r="AF181" s="19"/>
      <c r="AG181" s="19"/>
      <c r="AH181" s="19"/>
      <c r="AI181" s="19"/>
      <c r="AJ181" s="19"/>
      <c r="AK181" s="19"/>
    </row>
    <row r="182" spans="3:37" ht="34" customHeight="1" x14ac:dyDescent="0.35">
      <c r="C182" s="27">
        <v>1</v>
      </c>
      <c r="D182" s="106" t="s">
        <v>356</v>
      </c>
      <c r="E182" s="106"/>
      <c r="F182" s="106"/>
      <c r="G182" s="106"/>
      <c r="H182" s="106"/>
      <c r="I182" s="106"/>
      <c r="J182" s="106"/>
      <c r="K182" s="106"/>
      <c r="L182" s="106"/>
      <c r="M182" s="124"/>
      <c r="N182" s="104" t="s">
        <v>11</v>
      </c>
      <c r="O182" s="105"/>
      <c r="P182" s="126"/>
      <c r="Q182" s="127"/>
      <c r="R182" s="128"/>
      <c r="S182" s="36"/>
      <c r="U182" s="19"/>
      <c r="V182" s="19"/>
      <c r="W182" s="19"/>
      <c r="X182" s="19"/>
      <c r="Y182" s="19"/>
      <c r="Z182" s="19" t="str">
        <f>N182</f>
        <v>YES</v>
      </c>
      <c r="AA182" s="19"/>
      <c r="AB182" s="19"/>
      <c r="AC182" s="19"/>
      <c r="AD182" s="19"/>
      <c r="AE182" s="19"/>
      <c r="AF182" s="19"/>
      <c r="AG182" s="19"/>
      <c r="AH182" s="19"/>
      <c r="AI182" s="19"/>
      <c r="AJ182" s="19"/>
      <c r="AK182" s="19"/>
    </row>
    <row r="183" spans="3:37" ht="29" customHeight="1" x14ac:dyDescent="0.35">
      <c r="C183" s="27">
        <v>2</v>
      </c>
      <c r="D183" s="106" t="s">
        <v>357</v>
      </c>
      <c r="E183" s="106"/>
      <c r="F183" s="106"/>
      <c r="G183" s="106"/>
      <c r="H183" s="106"/>
      <c r="I183" s="106"/>
      <c r="J183" s="106"/>
      <c r="K183" s="106"/>
      <c r="L183" s="106"/>
      <c r="M183" s="124"/>
      <c r="N183" s="104" t="s">
        <v>11</v>
      </c>
      <c r="O183" s="105"/>
      <c r="P183" s="126"/>
      <c r="Q183" s="127"/>
      <c r="R183" s="128"/>
      <c r="S183" s="37"/>
      <c r="U183" s="19"/>
      <c r="V183" s="19"/>
      <c r="W183" s="19"/>
      <c r="X183" s="19"/>
      <c r="Y183" s="19"/>
      <c r="Z183" s="19" t="str">
        <f t="shared" ref="Z183:Z187" si="5">N183</f>
        <v>YES</v>
      </c>
      <c r="AA183" s="19"/>
      <c r="AB183" s="19"/>
      <c r="AC183" s="19"/>
      <c r="AD183" s="19"/>
      <c r="AE183" s="19"/>
      <c r="AF183" s="19"/>
      <c r="AG183" s="19"/>
      <c r="AH183" s="19"/>
      <c r="AI183" s="19"/>
      <c r="AJ183" s="19"/>
      <c r="AK183" s="19"/>
    </row>
    <row r="184" spans="3:37" ht="27" customHeight="1" x14ac:dyDescent="0.35">
      <c r="C184" s="27">
        <v>3</v>
      </c>
      <c r="D184" s="106" t="s">
        <v>358</v>
      </c>
      <c r="E184" s="106"/>
      <c r="F184" s="106"/>
      <c r="G184" s="106"/>
      <c r="H184" s="106"/>
      <c r="I184" s="106"/>
      <c r="J184" s="106"/>
      <c r="K184" s="106"/>
      <c r="L184" s="106"/>
      <c r="M184" s="124"/>
      <c r="N184" s="104" t="s">
        <v>11</v>
      </c>
      <c r="O184" s="105"/>
      <c r="P184" s="126"/>
      <c r="Q184" s="127"/>
      <c r="R184" s="128"/>
      <c r="S184" s="37"/>
      <c r="U184" s="19"/>
      <c r="V184" s="19"/>
      <c r="W184" s="19"/>
      <c r="X184" s="19"/>
      <c r="Y184" s="19"/>
      <c r="Z184" s="19" t="str">
        <f t="shared" si="5"/>
        <v>YES</v>
      </c>
      <c r="AA184" s="19"/>
      <c r="AB184" s="19"/>
      <c r="AC184" s="19"/>
      <c r="AD184" s="19"/>
      <c r="AE184" s="19"/>
      <c r="AF184" s="19"/>
      <c r="AG184" s="19"/>
      <c r="AH184" s="19"/>
      <c r="AI184" s="19"/>
      <c r="AJ184" s="19"/>
      <c r="AK184" s="19"/>
    </row>
    <row r="185" spans="3:37" ht="39" customHeight="1" x14ac:dyDescent="0.35">
      <c r="C185" s="27">
        <v>4</v>
      </c>
      <c r="D185" s="106" t="s">
        <v>359</v>
      </c>
      <c r="E185" s="106"/>
      <c r="F185" s="106"/>
      <c r="G185" s="106"/>
      <c r="H185" s="106"/>
      <c r="I185" s="106"/>
      <c r="J185" s="106"/>
      <c r="K185" s="106"/>
      <c r="L185" s="106"/>
      <c r="M185" s="124"/>
      <c r="N185" s="104" t="s">
        <v>11</v>
      </c>
      <c r="O185" s="105"/>
      <c r="P185" s="126"/>
      <c r="Q185" s="127"/>
      <c r="R185" s="128"/>
      <c r="S185" s="37"/>
      <c r="U185" s="19"/>
      <c r="V185" s="19"/>
      <c r="W185" s="19"/>
      <c r="X185" s="19"/>
      <c r="Y185" s="19"/>
      <c r="Z185" s="19" t="str">
        <f t="shared" si="5"/>
        <v>YES</v>
      </c>
      <c r="AA185" s="19"/>
      <c r="AB185" s="19"/>
      <c r="AC185" s="19"/>
      <c r="AD185" s="19"/>
      <c r="AE185" s="19"/>
      <c r="AF185" s="19"/>
      <c r="AG185" s="19"/>
      <c r="AH185" s="19"/>
      <c r="AI185" s="19"/>
      <c r="AJ185" s="19"/>
      <c r="AK185" s="19"/>
    </row>
    <row r="186" spans="3:37" ht="32" customHeight="1" x14ac:dyDescent="0.35">
      <c r="C186" s="28">
        <v>5</v>
      </c>
      <c r="D186" s="106" t="s">
        <v>536</v>
      </c>
      <c r="E186" s="106"/>
      <c r="F186" s="106"/>
      <c r="G186" s="106"/>
      <c r="H186" s="106"/>
      <c r="I186" s="106"/>
      <c r="J186" s="106"/>
      <c r="K186" s="106"/>
      <c r="L186" s="106"/>
      <c r="M186" s="124"/>
      <c r="N186" s="104" t="s">
        <v>11</v>
      </c>
      <c r="O186" s="105"/>
      <c r="P186" s="126"/>
      <c r="Q186" s="127"/>
      <c r="R186" s="128"/>
      <c r="S186" s="37"/>
      <c r="U186" s="19"/>
      <c r="V186" s="19"/>
      <c r="W186" s="19"/>
      <c r="X186" s="19"/>
      <c r="Y186" s="19"/>
      <c r="Z186" s="73" t="str">
        <f>N186</f>
        <v>YES</v>
      </c>
      <c r="AA186" s="19"/>
      <c r="AB186" s="19"/>
      <c r="AC186" s="19"/>
      <c r="AD186" s="19"/>
      <c r="AE186" s="19"/>
      <c r="AF186" s="19"/>
      <c r="AG186" s="19"/>
      <c r="AH186" s="19"/>
      <c r="AI186" s="19"/>
      <c r="AJ186" s="19"/>
      <c r="AK186" s="19"/>
    </row>
    <row r="187" spans="3:37" ht="39" hidden="1" customHeight="1" x14ac:dyDescent="0.35">
      <c r="C187" s="28">
        <v>6</v>
      </c>
      <c r="D187" s="106" t="s">
        <v>217</v>
      </c>
      <c r="E187" s="106"/>
      <c r="F187" s="106"/>
      <c r="G187" s="106"/>
      <c r="H187" s="106"/>
      <c r="I187" s="106"/>
      <c r="J187" s="106"/>
      <c r="K187" s="106"/>
      <c r="L187" s="106"/>
      <c r="M187" s="124"/>
      <c r="N187" s="282"/>
      <c r="O187" s="283"/>
      <c r="P187" s="115" t="s">
        <v>514</v>
      </c>
      <c r="Q187" s="115"/>
      <c r="R187" s="115"/>
      <c r="S187" s="17"/>
      <c r="U187" s="19"/>
      <c r="V187" s="19"/>
      <c r="W187" s="19"/>
      <c r="X187" s="19"/>
      <c r="Y187" s="19"/>
      <c r="Z187" s="73">
        <f t="shared" si="5"/>
        <v>0</v>
      </c>
      <c r="AA187" s="19"/>
      <c r="AB187" s="19"/>
      <c r="AC187" s="19"/>
      <c r="AD187" s="19"/>
      <c r="AE187" s="19"/>
      <c r="AF187" s="19"/>
      <c r="AG187" s="19"/>
      <c r="AH187" s="19"/>
      <c r="AI187" s="19"/>
      <c r="AJ187" s="19"/>
      <c r="AK187" s="19"/>
    </row>
    <row r="188" spans="3:37" ht="26.5" customHeight="1" x14ac:dyDescent="0.35">
      <c r="C188" s="135" t="s">
        <v>532</v>
      </c>
      <c r="D188" s="136"/>
      <c r="E188" s="136"/>
      <c r="F188" s="136"/>
      <c r="G188" s="136"/>
      <c r="H188" s="136"/>
      <c r="I188" s="136"/>
      <c r="J188" s="136"/>
      <c r="K188" s="136"/>
      <c r="L188" s="136"/>
      <c r="M188" s="136"/>
      <c r="N188" s="136"/>
      <c r="O188" s="136"/>
      <c r="P188" s="136"/>
      <c r="Q188" s="136"/>
      <c r="R188" s="136"/>
      <c r="S188" s="7"/>
      <c r="U188" s="19"/>
      <c r="V188" s="19"/>
      <c r="W188" s="19"/>
      <c r="X188" s="19"/>
      <c r="Y188" s="19"/>
      <c r="Z188" s="19"/>
      <c r="AA188" s="19"/>
      <c r="AB188" s="19"/>
      <c r="AC188" s="19"/>
      <c r="AD188" s="19"/>
      <c r="AE188" s="19"/>
      <c r="AF188" s="19"/>
      <c r="AG188" s="19"/>
      <c r="AH188" s="19"/>
      <c r="AI188" s="19"/>
      <c r="AJ188" s="19"/>
      <c r="AK188" s="19"/>
    </row>
    <row r="189" spans="3:37" ht="43.5" customHeight="1" x14ac:dyDescent="0.35">
      <c r="C189" s="154" t="s">
        <v>232</v>
      </c>
      <c r="D189" s="176"/>
      <c r="E189" s="75" t="s">
        <v>524</v>
      </c>
      <c r="F189" s="122" t="s">
        <v>233</v>
      </c>
      <c r="G189" s="122"/>
      <c r="H189" s="122" t="s">
        <v>234</v>
      </c>
      <c r="I189" s="122"/>
      <c r="J189" s="122" t="s">
        <v>235</v>
      </c>
      <c r="K189" s="122"/>
      <c r="L189" s="122" t="s">
        <v>236</v>
      </c>
      <c r="M189" s="122"/>
      <c r="N189" s="122"/>
      <c r="O189" s="122"/>
      <c r="P189" s="122" t="s">
        <v>237</v>
      </c>
      <c r="Q189" s="122"/>
      <c r="R189" s="122"/>
      <c r="S189" s="7"/>
      <c r="U189" s="19"/>
      <c r="V189" s="19"/>
      <c r="W189" s="19"/>
      <c r="X189" s="19"/>
      <c r="Y189" s="19"/>
      <c r="Z189" s="19"/>
      <c r="AA189" s="19"/>
      <c r="AB189" s="19"/>
      <c r="AC189" s="19"/>
      <c r="AD189" s="19"/>
      <c r="AE189" s="19"/>
      <c r="AF189" s="19"/>
      <c r="AG189" s="19"/>
      <c r="AH189" s="19"/>
      <c r="AI189" s="19"/>
      <c r="AJ189" s="19"/>
      <c r="AK189" s="19"/>
    </row>
    <row r="190" spans="3:37" ht="40.5" customHeight="1" thickBot="1" x14ac:dyDescent="0.4">
      <c r="C190" s="280" t="s">
        <v>413</v>
      </c>
      <c r="D190" s="281"/>
      <c r="E190" s="76">
        <v>45539</v>
      </c>
      <c r="F190" s="137" t="s">
        <v>12</v>
      </c>
      <c r="G190" s="137"/>
      <c r="H190" s="138">
        <v>45539</v>
      </c>
      <c r="I190" s="139"/>
      <c r="J190" s="140" t="str">
        <f>IF(COUNTA(Z182:Z186)=0,"",IF(COUNTIF(Z182:Z186,"No")&gt;=1,"Defects Raised",IF(COUNTIF(Z182:Z186,"Yes")&gt;=1,"No Defects","")))</f>
        <v>No Defects</v>
      </c>
      <c r="K190" s="140"/>
      <c r="L190" s="139" t="s">
        <v>510</v>
      </c>
      <c r="M190" s="139"/>
      <c r="N190" s="139"/>
      <c r="O190" s="139"/>
      <c r="P190" s="141"/>
      <c r="Q190" s="141"/>
      <c r="R190" s="141"/>
      <c r="S190" s="7"/>
      <c r="U190" s="19"/>
      <c r="V190" s="19"/>
      <c r="W190" s="19"/>
      <c r="X190" s="19"/>
      <c r="Y190" s="19"/>
      <c r="Z190" s="19"/>
      <c r="AA190" s="19"/>
      <c r="AB190" s="19"/>
      <c r="AC190" s="19"/>
      <c r="AD190" s="19"/>
      <c r="AE190" s="19"/>
      <c r="AF190" s="19"/>
      <c r="AG190" s="19"/>
      <c r="AH190" s="19"/>
      <c r="AI190" s="19"/>
      <c r="AJ190" s="19"/>
      <c r="AK190" s="19"/>
    </row>
    <row r="191" spans="3:37" ht="26.5" customHeight="1" thickBot="1" x14ac:dyDescent="0.4">
      <c r="C191" s="142" t="s">
        <v>361</v>
      </c>
      <c r="D191" s="143"/>
      <c r="E191" s="143"/>
      <c r="F191" s="143"/>
      <c r="G191" s="143"/>
      <c r="H191" s="143"/>
      <c r="I191" s="143"/>
      <c r="J191" s="143"/>
      <c r="K191" s="143"/>
      <c r="L191" s="143"/>
      <c r="M191" s="143"/>
      <c r="N191" s="143"/>
      <c r="O191" s="143"/>
      <c r="P191" s="143"/>
      <c r="Q191" s="143"/>
      <c r="R191" s="143"/>
      <c r="S191" s="68" t="str">
        <f>IF(COUNTA(N192:O193)=0,"",IF(COUNTIF(N192:O193,"No")&gt;=1,"NO",IF(COUNTIF(N192:O193,"SUBMITTED WITH OPEN DEFECTS")&gt;=1,"SUBMITTED WITH OPEN DEFECTS",IF(COUNTIF(N192:O193,"Yes")&gt;=1,"YES","NA"))))</f>
        <v>YES</v>
      </c>
      <c r="T191" s="18">
        <v>18</v>
      </c>
      <c r="U191" s="19"/>
      <c r="V191" s="19"/>
      <c r="W191" s="19"/>
      <c r="X191" s="19"/>
      <c r="Y191" s="19"/>
      <c r="Z191" s="19"/>
      <c r="AA191" s="19"/>
      <c r="AB191" s="19"/>
      <c r="AC191" s="19"/>
      <c r="AD191" s="19"/>
      <c r="AE191" s="19"/>
      <c r="AF191" s="19"/>
      <c r="AG191" s="19"/>
      <c r="AH191" s="19"/>
      <c r="AI191" s="19"/>
      <c r="AJ191" s="19"/>
      <c r="AK191" s="19"/>
    </row>
    <row r="192" spans="3:37" ht="39" customHeight="1" x14ac:dyDescent="0.35">
      <c r="C192" s="24">
        <v>1</v>
      </c>
      <c r="D192" s="132" t="s">
        <v>362</v>
      </c>
      <c r="E192" s="133"/>
      <c r="F192" s="133"/>
      <c r="G192" s="133"/>
      <c r="H192" s="133"/>
      <c r="I192" s="133"/>
      <c r="J192" s="133"/>
      <c r="K192" s="133"/>
      <c r="L192" s="133"/>
      <c r="M192" s="134"/>
      <c r="N192" s="104" t="s">
        <v>11</v>
      </c>
      <c r="O192" s="105"/>
      <c r="P192" s="126"/>
      <c r="Q192" s="127"/>
      <c r="R192" s="128"/>
      <c r="S192" s="37"/>
      <c r="U192" s="19"/>
      <c r="V192" s="19"/>
      <c r="W192" s="19"/>
      <c r="X192" s="19"/>
      <c r="Y192" s="19"/>
      <c r="Z192" s="19" t="str">
        <f>N192</f>
        <v>YES</v>
      </c>
      <c r="AA192" s="19"/>
      <c r="AB192" s="19"/>
      <c r="AC192" s="19"/>
      <c r="AD192" s="19"/>
      <c r="AE192" s="19"/>
      <c r="AF192" s="19"/>
      <c r="AG192" s="19"/>
      <c r="AH192" s="19"/>
      <c r="AI192" s="19"/>
      <c r="AJ192" s="19"/>
      <c r="AK192" s="19"/>
    </row>
    <row r="193" spans="3:37" ht="39" customHeight="1" x14ac:dyDescent="0.35">
      <c r="C193" s="25">
        <v>2</v>
      </c>
      <c r="D193" s="123" t="s">
        <v>409</v>
      </c>
      <c r="E193" s="106"/>
      <c r="F193" s="106"/>
      <c r="G193" s="106"/>
      <c r="H193" s="106"/>
      <c r="I193" s="106"/>
      <c r="J193" s="106"/>
      <c r="K193" s="106"/>
      <c r="L193" s="106"/>
      <c r="M193" s="124"/>
      <c r="N193" s="104" t="s">
        <v>11</v>
      </c>
      <c r="O193" s="105"/>
      <c r="P193" s="126"/>
      <c r="Q193" s="127"/>
      <c r="R193" s="128"/>
      <c r="S193" s="17"/>
      <c r="U193" s="19"/>
      <c r="V193" s="19"/>
      <c r="W193" s="19"/>
      <c r="X193" s="19"/>
      <c r="Y193" s="19"/>
      <c r="Z193" s="19" t="str">
        <f t="shared" ref="Z193" si="6">N193</f>
        <v>YES</v>
      </c>
      <c r="AA193" s="19"/>
      <c r="AB193" s="19"/>
      <c r="AC193" s="19"/>
      <c r="AD193" s="19"/>
      <c r="AE193" s="19"/>
      <c r="AF193" s="19"/>
      <c r="AG193" s="19"/>
      <c r="AH193" s="19"/>
      <c r="AI193" s="19"/>
      <c r="AJ193" s="19"/>
      <c r="AK193" s="19"/>
    </row>
    <row r="194" spans="3:37" ht="40.5" customHeight="1" x14ac:dyDescent="0.35">
      <c r="C194" s="25">
        <v>3</v>
      </c>
      <c r="D194" s="78" t="s">
        <v>363</v>
      </c>
      <c r="E194" s="79"/>
      <c r="F194" s="79"/>
      <c r="G194" s="79"/>
      <c r="H194" s="79"/>
      <c r="I194" s="79"/>
      <c r="J194" s="79"/>
      <c r="K194" s="79"/>
      <c r="L194" s="79"/>
      <c r="M194" s="79"/>
      <c r="N194" s="79"/>
      <c r="O194" s="79"/>
      <c r="P194" s="79"/>
      <c r="Q194" s="79"/>
      <c r="R194" s="79"/>
      <c r="S194" s="68" t="str">
        <f>IF(COUNTA(N195:O200)=0,"",IF(COUNTIF(N195:O200,"No")&gt;=1,"NO",IF(COUNTIF(N195:O200,"SUBMITTED WITH OPEN DEFECTS")&gt;=1,"SUBMITTED WITH OPEN DEFECTS",IF(COUNTIF(N195:O200,"Yes")&gt;=1,"YES","NA"))))</f>
        <v>YES</v>
      </c>
      <c r="U194" s="19"/>
      <c r="V194" s="19"/>
      <c r="W194" s="19"/>
      <c r="X194" s="19"/>
      <c r="Y194" s="19"/>
      <c r="Z194" s="19" t="str">
        <f t="shared" ref="Z194:Z199" si="7">N195</f>
        <v>YES</v>
      </c>
      <c r="AA194" s="19"/>
      <c r="AB194" s="19"/>
      <c r="AC194" s="19"/>
      <c r="AD194" s="19"/>
      <c r="AE194" s="19"/>
      <c r="AF194" s="19"/>
      <c r="AG194" s="19"/>
      <c r="AH194" s="19"/>
      <c r="AI194" s="19"/>
      <c r="AJ194" s="19"/>
      <c r="AK194" s="19"/>
    </row>
    <row r="195" spans="3:37" ht="39" customHeight="1" x14ac:dyDescent="0.35">
      <c r="C195" s="25" t="s">
        <v>200</v>
      </c>
      <c r="D195" s="123" t="s">
        <v>364</v>
      </c>
      <c r="E195" s="106"/>
      <c r="F195" s="106"/>
      <c r="G195" s="106"/>
      <c r="H195" s="106"/>
      <c r="I195" s="106"/>
      <c r="J195" s="106"/>
      <c r="K195" s="106"/>
      <c r="L195" s="106"/>
      <c r="M195" s="124"/>
      <c r="N195" s="104" t="s">
        <v>11</v>
      </c>
      <c r="O195" s="105"/>
      <c r="P195" s="126"/>
      <c r="Q195" s="127"/>
      <c r="R195" s="128"/>
      <c r="S195" s="36"/>
      <c r="U195" s="19"/>
      <c r="V195" s="19"/>
      <c r="W195" s="19"/>
      <c r="X195" s="19"/>
      <c r="Y195" s="19"/>
      <c r="Z195" s="19" t="str">
        <f t="shared" si="7"/>
        <v>YES</v>
      </c>
      <c r="AA195" s="19"/>
      <c r="AB195" s="19"/>
      <c r="AC195" s="19"/>
      <c r="AD195" s="19"/>
      <c r="AE195" s="19"/>
      <c r="AF195" s="19"/>
      <c r="AG195" s="19"/>
      <c r="AH195" s="19"/>
      <c r="AI195" s="19"/>
      <c r="AJ195" s="19"/>
      <c r="AK195" s="19"/>
    </row>
    <row r="196" spans="3:37" ht="39" customHeight="1" x14ac:dyDescent="0.35">
      <c r="C196" s="25" t="s">
        <v>224</v>
      </c>
      <c r="D196" s="123" t="s">
        <v>365</v>
      </c>
      <c r="E196" s="106"/>
      <c r="F196" s="106"/>
      <c r="G196" s="106"/>
      <c r="H196" s="106"/>
      <c r="I196" s="106"/>
      <c r="J196" s="106"/>
      <c r="K196" s="106"/>
      <c r="L196" s="106"/>
      <c r="M196" s="124"/>
      <c r="N196" s="104" t="s">
        <v>11</v>
      </c>
      <c r="O196" s="105"/>
      <c r="P196" s="126"/>
      <c r="Q196" s="127"/>
      <c r="R196" s="128"/>
      <c r="S196" s="37"/>
      <c r="U196" s="19"/>
      <c r="V196" s="19"/>
      <c r="W196" s="19"/>
      <c r="X196" s="19"/>
      <c r="Y196" s="19"/>
      <c r="Z196" s="19" t="str">
        <f t="shared" si="7"/>
        <v>YES</v>
      </c>
      <c r="AA196" s="19"/>
      <c r="AB196" s="19"/>
      <c r="AC196" s="19"/>
      <c r="AD196" s="19"/>
      <c r="AE196" s="19"/>
      <c r="AF196" s="19"/>
      <c r="AG196" s="19"/>
      <c r="AH196" s="19"/>
      <c r="AI196" s="19"/>
      <c r="AJ196" s="19"/>
      <c r="AK196" s="19"/>
    </row>
    <row r="197" spans="3:37" ht="39" customHeight="1" x14ac:dyDescent="0.35">
      <c r="C197" s="25" t="s">
        <v>262</v>
      </c>
      <c r="D197" s="123" t="s">
        <v>366</v>
      </c>
      <c r="E197" s="106"/>
      <c r="F197" s="106"/>
      <c r="G197" s="106"/>
      <c r="H197" s="106"/>
      <c r="I197" s="106"/>
      <c r="J197" s="106"/>
      <c r="K197" s="106"/>
      <c r="L197" s="106"/>
      <c r="M197" s="124"/>
      <c r="N197" s="104" t="s">
        <v>11</v>
      </c>
      <c r="O197" s="105"/>
      <c r="P197" s="126"/>
      <c r="Q197" s="127"/>
      <c r="R197" s="128"/>
      <c r="S197" s="37"/>
      <c r="U197" s="19"/>
      <c r="V197" s="19"/>
      <c r="W197" s="19"/>
      <c r="X197" s="19"/>
      <c r="Y197" s="19"/>
      <c r="Z197" s="19" t="str">
        <f t="shared" si="7"/>
        <v>YES</v>
      </c>
      <c r="AA197" s="19"/>
      <c r="AB197" s="19"/>
      <c r="AC197" s="19"/>
      <c r="AD197" s="19"/>
      <c r="AE197" s="19"/>
      <c r="AF197" s="19"/>
      <c r="AG197" s="19"/>
      <c r="AH197" s="19"/>
      <c r="AI197" s="19"/>
      <c r="AJ197" s="19"/>
      <c r="AK197" s="19"/>
    </row>
    <row r="198" spans="3:37" ht="39" customHeight="1" x14ac:dyDescent="0.35">
      <c r="C198" s="25" t="s">
        <v>264</v>
      </c>
      <c r="D198" s="123" t="s">
        <v>367</v>
      </c>
      <c r="E198" s="106"/>
      <c r="F198" s="106"/>
      <c r="G198" s="106"/>
      <c r="H198" s="106"/>
      <c r="I198" s="106"/>
      <c r="J198" s="106"/>
      <c r="K198" s="106"/>
      <c r="L198" s="106"/>
      <c r="M198" s="124"/>
      <c r="N198" s="104" t="s">
        <v>11</v>
      </c>
      <c r="O198" s="105"/>
      <c r="P198" s="126"/>
      <c r="Q198" s="127"/>
      <c r="R198" s="128"/>
      <c r="S198" s="37"/>
      <c r="U198" s="19"/>
      <c r="V198" s="19"/>
      <c r="W198" s="19"/>
      <c r="X198" s="19"/>
      <c r="Y198" s="19"/>
      <c r="Z198" s="19" t="str">
        <f t="shared" si="7"/>
        <v>YES</v>
      </c>
      <c r="AA198" s="19"/>
      <c r="AB198" s="19"/>
      <c r="AC198" s="19"/>
      <c r="AD198" s="19"/>
      <c r="AE198" s="19"/>
      <c r="AF198" s="19"/>
      <c r="AG198" s="19"/>
      <c r="AH198" s="19"/>
      <c r="AI198" s="19"/>
      <c r="AJ198" s="19"/>
      <c r="AK198" s="19"/>
    </row>
    <row r="199" spans="3:37" ht="39" customHeight="1" x14ac:dyDescent="0.35">
      <c r="C199" s="25" t="s">
        <v>266</v>
      </c>
      <c r="D199" s="123" t="s">
        <v>368</v>
      </c>
      <c r="E199" s="106"/>
      <c r="F199" s="106"/>
      <c r="G199" s="106"/>
      <c r="H199" s="106"/>
      <c r="I199" s="106"/>
      <c r="J199" s="106"/>
      <c r="K199" s="106"/>
      <c r="L199" s="106"/>
      <c r="M199" s="124"/>
      <c r="N199" s="104" t="s">
        <v>11</v>
      </c>
      <c r="O199" s="105"/>
      <c r="P199" s="126"/>
      <c r="Q199" s="127"/>
      <c r="R199" s="128"/>
      <c r="S199" s="37"/>
      <c r="U199" s="19"/>
      <c r="V199" s="19"/>
      <c r="W199" s="19"/>
      <c r="X199" s="19"/>
      <c r="Y199" s="19"/>
      <c r="Z199" s="19" t="str">
        <f t="shared" si="7"/>
        <v>YES</v>
      </c>
      <c r="AA199" s="19"/>
      <c r="AB199" s="19"/>
      <c r="AC199" s="19"/>
      <c r="AD199" s="19"/>
      <c r="AE199" s="19"/>
      <c r="AF199" s="19"/>
      <c r="AG199" s="19"/>
      <c r="AH199" s="19"/>
      <c r="AI199" s="19"/>
      <c r="AJ199" s="19"/>
      <c r="AK199" s="19"/>
    </row>
    <row r="200" spans="3:37" ht="39" customHeight="1" x14ac:dyDescent="0.35">
      <c r="C200" s="25" t="s">
        <v>268</v>
      </c>
      <c r="D200" s="123" t="s">
        <v>369</v>
      </c>
      <c r="E200" s="106"/>
      <c r="F200" s="106"/>
      <c r="G200" s="106"/>
      <c r="H200" s="106"/>
      <c r="I200" s="106"/>
      <c r="J200" s="106"/>
      <c r="K200" s="106"/>
      <c r="L200" s="106"/>
      <c r="M200" s="124"/>
      <c r="N200" s="104" t="s">
        <v>11</v>
      </c>
      <c r="O200" s="105"/>
      <c r="P200" s="126"/>
      <c r="Q200" s="127"/>
      <c r="R200" s="128"/>
      <c r="S200" s="17"/>
      <c r="U200" s="19"/>
      <c r="V200" s="19"/>
      <c r="W200" s="19"/>
      <c r="X200" s="19"/>
      <c r="Y200" s="19"/>
      <c r="Z200" s="19" t="str">
        <f>N202</f>
        <v>YES</v>
      </c>
      <c r="AA200" s="19"/>
      <c r="AB200" s="19"/>
      <c r="AC200" s="19"/>
      <c r="AD200" s="19"/>
      <c r="AE200" s="19"/>
      <c r="AF200" s="19"/>
      <c r="AG200" s="19"/>
      <c r="AH200" s="19"/>
      <c r="AI200" s="19"/>
      <c r="AJ200" s="19"/>
      <c r="AK200" s="19"/>
    </row>
    <row r="201" spans="3:37" ht="43" customHeight="1" x14ac:dyDescent="0.35">
      <c r="C201" s="25">
        <v>4</v>
      </c>
      <c r="D201" s="78" t="s">
        <v>370</v>
      </c>
      <c r="E201" s="79"/>
      <c r="F201" s="79"/>
      <c r="G201" s="79"/>
      <c r="H201" s="79"/>
      <c r="I201" s="79"/>
      <c r="J201" s="79"/>
      <c r="K201" s="79"/>
      <c r="L201" s="79"/>
      <c r="M201" s="79"/>
      <c r="N201" s="79"/>
      <c r="O201" s="79"/>
      <c r="P201" s="79"/>
      <c r="Q201" s="79"/>
      <c r="R201" s="79"/>
      <c r="S201" s="68" t="str">
        <f>IF(COUNTA(N202:O204)=0,"",IF(COUNTIF(N202:O204,"No")&gt;=1,"NO",IF(COUNTIF(N202:O204,"SUBMITTED WITH OPEN DEFECTS")&gt;=1,"SUBMITTED WITH OPEN DEFECTS",IF(COUNTIF(N202:O204,"Yes")&gt;=1,"YES","NA"))))</f>
        <v>YES</v>
      </c>
      <c r="U201" s="19"/>
      <c r="V201" s="19"/>
      <c r="W201" s="19"/>
      <c r="X201" s="19"/>
      <c r="Y201" s="19"/>
      <c r="Z201" s="19" t="str">
        <f>N203</f>
        <v>YES</v>
      </c>
      <c r="AA201" s="19"/>
      <c r="AB201" s="19"/>
      <c r="AC201" s="19"/>
      <c r="AD201" s="19"/>
      <c r="AE201" s="19"/>
      <c r="AF201" s="19"/>
      <c r="AG201" s="19"/>
      <c r="AH201" s="19"/>
      <c r="AI201" s="19"/>
      <c r="AJ201" s="19"/>
      <c r="AK201" s="19"/>
    </row>
    <row r="202" spans="3:37" ht="39" customHeight="1" x14ac:dyDescent="0.35">
      <c r="C202" s="25" t="s">
        <v>202</v>
      </c>
      <c r="D202" s="123" t="s">
        <v>371</v>
      </c>
      <c r="E202" s="106"/>
      <c r="F202" s="106"/>
      <c r="G202" s="106"/>
      <c r="H202" s="106"/>
      <c r="I202" s="106"/>
      <c r="J202" s="106"/>
      <c r="K202" s="106"/>
      <c r="L202" s="106"/>
      <c r="M202" s="106"/>
      <c r="N202" s="104" t="s">
        <v>11</v>
      </c>
      <c r="O202" s="105"/>
      <c r="P202" s="126"/>
      <c r="Q202" s="127"/>
      <c r="R202" s="128"/>
      <c r="S202" s="36"/>
      <c r="U202" s="19"/>
      <c r="V202" s="19"/>
      <c r="W202" s="19"/>
      <c r="X202" s="19"/>
      <c r="Y202" s="19"/>
      <c r="Z202" s="19" t="str">
        <f>N204</f>
        <v>YES</v>
      </c>
      <c r="AA202" s="19"/>
      <c r="AB202" s="19"/>
      <c r="AC202" s="19"/>
      <c r="AD202" s="19"/>
      <c r="AE202" s="19"/>
      <c r="AF202" s="19"/>
      <c r="AG202" s="19"/>
      <c r="AH202" s="19"/>
      <c r="AI202" s="19"/>
      <c r="AJ202" s="19"/>
      <c r="AK202" s="19"/>
    </row>
    <row r="203" spans="3:37" ht="39" customHeight="1" x14ac:dyDescent="0.35">
      <c r="C203" s="25" t="s">
        <v>272</v>
      </c>
      <c r="D203" s="123" t="s">
        <v>372</v>
      </c>
      <c r="E203" s="106"/>
      <c r="F203" s="106"/>
      <c r="G203" s="106"/>
      <c r="H203" s="106"/>
      <c r="I203" s="106"/>
      <c r="J203" s="106"/>
      <c r="K203" s="106"/>
      <c r="L203" s="106"/>
      <c r="M203" s="106"/>
      <c r="N203" s="104" t="s">
        <v>11</v>
      </c>
      <c r="O203" s="105"/>
      <c r="P203" s="126"/>
      <c r="Q203" s="127"/>
      <c r="R203" s="128"/>
      <c r="S203" s="37"/>
      <c r="U203" s="19"/>
      <c r="V203" s="19"/>
      <c r="W203" s="19"/>
      <c r="X203" s="19"/>
      <c r="Y203" s="19"/>
      <c r="Z203" s="19" t="str">
        <f>N206</f>
        <v>YES</v>
      </c>
      <c r="AA203" s="19"/>
      <c r="AB203" s="19"/>
      <c r="AC203" s="19"/>
      <c r="AD203" s="19"/>
      <c r="AE203" s="19"/>
      <c r="AF203" s="19"/>
      <c r="AG203" s="19"/>
      <c r="AH203" s="19"/>
      <c r="AI203" s="19"/>
      <c r="AJ203" s="19"/>
      <c r="AK203" s="19"/>
    </row>
    <row r="204" spans="3:37" ht="92.5" customHeight="1" x14ac:dyDescent="0.35">
      <c r="C204" s="25" t="s">
        <v>274</v>
      </c>
      <c r="D204" s="123" t="s">
        <v>373</v>
      </c>
      <c r="E204" s="106"/>
      <c r="F204" s="106"/>
      <c r="G204" s="106"/>
      <c r="H204" s="106"/>
      <c r="I204" s="106"/>
      <c r="J204" s="106"/>
      <c r="K204" s="106"/>
      <c r="L204" s="106"/>
      <c r="M204" s="106"/>
      <c r="N204" s="104" t="s">
        <v>11</v>
      </c>
      <c r="O204" s="105"/>
      <c r="P204" s="126"/>
      <c r="Q204" s="127"/>
      <c r="R204" s="128"/>
      <c r="S204" s="17"/>
      <c r="U204" s="19"/>
      <c r="V204" s="19"/>
      <c r="W204" s="19"/>
      <c r="X204" s="19"/>
      <c r="Y204" s="19"/>
      <c r="Z204" s="19" t="str">
        <f>N207</f>
        <v>YES</v>
      </c>
      <c r="AA204" s="19"/>
      <c r="AB204" s="19"/>
      <c r="AC204" s="19"/>
      <c r="AD204" s="19"/>
      <c r="AE204" s="19"/>
      <c r="AF204" s="19"/>
      <c r="AG204" s="19"/>
      <c r="AH204" s="19"/>
      <c r="AI204" s="19"/>
      <c r="AJ204" s="19"/>
      <c r="AK204" s="19"/>
    </row>
    <row r="205" spans="3:37" ht="36" customHeight="1" x14ac:dyDescent="0.35">
      <c r="C205" s="25">
        <v>5</v>
      </c>
      <c r="D205" s="78" t="s">
        <v>374</v>
      </c>
      <c r="E205" s="79"/>
      <c r="F205" s="79"/>
      <c r="G205" s="79"/>
      <c r="H205" s="79"/>
      <c r="I205" s="79"/>
      <c r="J205" s="79"/>
      <c r="K205" s="79"/>
      <c r="L205" s="79"/>
      <c r="M205" s="79"/>
      <c r="N205" s="79"/>
      <c r="O205" s="79"/>
      <c r="P205" s="79"/>
      <c r="Q205" s="79"/>
      <c r="R205" s="79"/>
      <c r="S205" s="68" t="str">
        <f>IF(COUNTA(N206:O208)=0,"",IF(COUNTIF(N206:O208,"No")&gt;=1,"NO",IF(COUNTIF(N206:O208,"SUBMITTED WITH OPEN DEFECTS")&gt;=1,"SUBMITTED WITH OPEN DEFECTS",IF(COUNTIF(N206:O208,"Yes")&gt;=1,"YES","NA"))))</f>
        <v>YES</v>
      </c>
      <c r="U205" s="19"/>
      <c r="V205" s="19"/>
      <c r="W205" s="19"/>
      <c r="X205" s="19"/>
      <c r="Y205" s="19"/>
      <c r="Z205" s="19" t="str">
        <f>N208</f>
        <v>YES</v>
      </c>
      <c r="AA205" s="19"/>
      <c r="AB205" s="19"/>
      <c r="AC205" s="19"/>
      <c r="AD205" s="19"/>
      <c r="AE205" s="19"/>
      <c r="AF205" s="19"/>
      <c r="AG205" s="19"/>
      <c r="AH205" s="19"/>
      <c r="AI205" s="19"/>
      <c r="AJ205" s="19"/>
      <c r="AK205" s="19"/>
    </row>
    <row r="206" spans="3:37" ht="105" customHeight="1" x14ac:dyDescent="0.35">
      <c r="C206" s="26" t="s">
        <v>204</v>
      </c>
      <c r="D206" s="125" t="s">
        <v>512</v>
      </c>
      <c r="E206" s="106"/>
      <c r="F206" s="106"/>
      <c r="G206" s="106"/>
      <c r="H206" s="106"/>
      <c r="I206" s="106"/>
      <c r="J206" s="106"/>
      <c r="K206" s="106"/>
      <c r="L206" s="106"/>
      <c r="M206" s="106"/>
      <c r="N206" s="104" t="s">
        <v>11</v>
      </c>
      <c r="O206" s="105"/>
      <c r="P206" s="126"/>
      <c r="Q206" s="127"/>
      <c r="R206" s="128"/>
      <c r="S206" s="36"/>
      <c r="U206" s="19"/>
      <c r="V206" s="19"/>
      <c r="W206" s="19"/>
      <c r="X206" s="19"/>
      <c r="Y206" s="19"/>
      <c r="Z206" s="19" t="str">
        <f>N210</f>
        <v>YES</v>
      </c>
      <c r="AA206" s="19"/>
      <c r="AB206" s="19"/>
      <c r="AC206" s="19"/>
      <c r="AD206" s="19"/>
      <c r="AE206" s="19"/>
      <c r="AF206" s="19"/>
      <c r="AG206" s="19"/>
      <c r="AH206" s="19"/>
      <c r="AI206" s="19"/>
      <c r="AJ206" s="19"/>
      <c r="AK206" s="19"/>
    </row>
    <row r="207" spans="3:37" ht="109" customHeight="1" x14ac:dyDescent="0.35">
      <c r="C207" s="26" t="s">
        <v>225</v>
      </c>
      <c r="D207" s="123" t="s">
        <v>386</v>
      </c>
      <c r="E207" s="106"/>
      <c r="F207" s="106"/>
      <c r="G207" s="106"/>
      <c r="H207" s="106"/>
      <c r="I207" s="106"/>
      <c r="J207" s="106"/>
      <c r="K207" s="106"/>
      <c r="L207" s="106"/>
      <c r="M207" s="106"/>
      <c r="N207" s="104" t="s">
        <v>11</v>
      </c>
      <c r="O207" s="105"/>
      <c r="P207" s="126"/>
      <c r="Q207" s="127"/>
      <c r="R207" s="128"/>
      <c r="S207" s="37"/>
      <c r="U207" s="19"/>
      <c r="V207" s="19"/>
      <c r="W207" s="19"/>
      <c r="X207" s="19"/>
      <c r="Y207" s="19"/>
      <c r="Z207" s="73">
        <f>N211</f>
        <v>45539</v>
      </c>
      <c r="AA207" s="19"/>
      <c r="AB207" s="19"/>
      <c r="AC207" s="19"/>
      <c r="AD207" s="19"/>
      <c r="AE207" s="19"/>
      <c r="AF207" s="19"/>
      <c r="AG207" s="19"/>
      <c r="AH207" s="19"/>
      <c r="AI207" s="19"/>
      <c r="AJ207" s="19"/>
      <c r="AK207" s="19"/>
    </row>
    <row r="208" spans="3:37" ht="62.5" customHeight="1" x14ac:dyDescent="0.35">
      <c r="C208" s="26" t="s">
        <v>226</v>
      </c>
      <c r="D208" s="123" t="s">
        <v>375</v>
      </c>
      <c r="E208" s="106"/>
      <c r="F208" s="106"/>
      <c r="G208" s="106"/>
      <c r="H208" s="106"/>
      <c r="I208" s="106"/>
      <c r="J208" s="106"/>
      <c r="K208" s="106"/>
      <c r="L208" s="106"/>
      <c r="M208" s="106"/>
      <c r="N208" s="104" t="s">
        <v>11</v>
      </c>
      <c r="O208" s="105"/>
      <c r="P208" s="126"/>
      <c r="Q208" s="127"/>
      <c r="R208" s="128"/>
      <c r="S208" s="17"/>
      <c r="U208" s="19"/>
      <c r="V208" s="19"/>
      <c r="W208" s="19"/>
      <c r="X208" s="19"/>
      <c r="Y208" s="19"/>
      <c r="Z208" s="19" t="str">
        <f>N212</f>
        <v>JOEL NADAR</v>
      </c>
      <c r="AA208" s="19"/>
      <c r="AB208" s="19"/>
      <c r="AC208" s="19"/>
      <c r="AD208" s="19"/>
      <c r="AE208" s="19"/>
      <c r="AF208" s="19"/>
      <c r="AG208" s="19"/>
      <c r="AH208" s="19"/>
      <c r="AI208" s="19"/>
      <c r="AJ208" s="19"/>
      <c r="AK208" s="19"/>
    </row>
    <row r="209" spans="3:37" ht="39.5" customHeight="1" x14ac:dyDescent="0.35">
      <c r="C209" s="25">
        <v>6</v>
      </c>
      <c r="D209" s="78" t="s">
        <v>385</v>
      </c>
      <c r="E209" s="79"/>
      <c r="F209" s="79"/>
      <c r="G209" s="79"/>
      <c r="H209" s="79"/>
      <c r="I209" s="79"/>
      <c r="J209" s="79"/>
      <c r="K209" s="79"/>
      <c r="L209" s="79"/>
      <c r="M209" s="79"/>
      <c r="N209" s="79"/>
      <c r="O209" s="79"/>
      <c r="P209" s="79"/>
      <c r="Q209" s="79"/>
      <c r="R209" s="79"/>
      <c r="S209" s="68" t="str">
        <f>IF(N210="","",N210)</f>
        <v>YES</v>
      </c>
      <c r="U209" s="19"/>
      <c r="V209" s="19"/>
      <c r="W209" s="19"/>
      <c r="X209" s="19"/>
      <c r="Y209" s="19"/>
      <c r="Z209" s="19" t="str">
        <f>N214</f>
        <v>YES</v>
      </c>
      <c r="AA209" s="19"/>
      <c r="AB209" s="19"/>
      <c r="AC209" s="19"/>
      <c r="AD209" s="19"/>
      <c r="AE209" s="19"/>
      <c r="AF209" s="19"/>
      <c r="AG209" s="19"/>
      <c r="AH209" s="19"/>
      <c r="AI209" s="19"/>
      <c r="AJ209" s="19"/>
      <c r="AK209" s="19"/>
    </row>
    <row r="210" spans="3:37" ht="77" customHeight="1" x14ac:dyDescent="0.35">
      <c r="C210" s="26" t="s">
        <v>205</v>
      </c>
      <c r="D210" s="123" t="s">
        <v>376</v>
      </c>
      <c r="E210" s="106"/>
      <c r="F210" s="106"/>
      <c r="G210" s="106"/>
      <c r="H210" s="106"/>
      <c r="I210" s="106"/>
      <c r="J210" s="106"/>
      <c r="K210" s="106"/>
      <c r="L210" s="106"/>
      <c r="M210" s="124"/>
      <c r="N210" s="104" t="s">
        <v>11</v>
      </c>
      <c r="O210" s="105"/>
      <c r="P210" s="126"/>
      <c r="Q210" s="127"/>
      <c r="R210" s="128"/>
      <c r="S210" s="36"/>
      <c r="U210" s="19"/>
      <c r="V210" s="19"/>
      <c r="W210" s="19"/>
      <c r="X210" s="19"/>
      <c r="Y210" s="19"/>
      <c r="Z210" s="19" t="str">
        <f>N215</f>
        <v>YES</v>
      </c>
      <c r="AA210" s="19"/>
      <c r="AB210" s="19"/>
      <c r="AC210" s="19"/>
      <c r="AD210" s="19"/>
      <c r="AE210" s="19"/>
      <c r="AF210" s="19"/>
      <c r="AG210" s="19"/>
      <c r="AH210" s="19"/>
      <c r="AI210" s="19"/>
      <c r="AJ210" s="19"/>
      <c r="AK210" s="19"/>
    </row>
    <row r="211" spans="3:37" ht="31" customHeight="1" x14ac:dyDescent="0.35">
      <c r="C211" s="25">
        <v>7</v>
      </c>
      <c r="D211" s="123" t="s">
        <v>377</v>
      </c>
      <c r="E211" s="106"/>
      <c r="F211" s="106"/>
      <c r="G211" s="106"/>
      <c r="H211" s="106"/>
      <c r="I211" s="106"/>
      <c r="J211" s="106"/>
      <c r="K211" s="106"/>
      <c r="L211" s="106"/>
      <c r="M211" s="124"/>
      <c r="N211" s="129">
        <v>45539</v>
      </c>
      <c r="O211" s="130"/>
      <c r="P211" s="115" t="s">
        <v>519</v>
      </c>
      <c r="Q211" s="115"/>
      <c r="R211" s="115"/>
      <c r="S211" s="37"/>
      <c r="U211" s="19"/>
      <c r="V211" s="19"/>
      <c r="W211" s="19"/>
      <c r="X211" s="19"/>
      <c r="Y211" s="19"/>
      <c r="Z211" s="19" t="str">
        <f>N216</f>
        <v>YES</v>
      </c>
      <c r="AA211" s="19"/>
      <c r="AB211" s="19"/>
      <c r="AC211" s="19"/>
      <c r="AD211" s="19"/>
      <c r="AE211" s="19"/>
      <c r="AF211" s="19"/>
      <c r="AG211" s="19"/>
      <c r="AH211" s="19"/>
      <c r="AI211" s="19"/>
      <c r="AJ211" s="19"/>
      <c r="AK211" s="19"/>
    </row>
    <row r="212" spans="3:37" ht="31" customHeight="1" x14ac:dyDescent="0.35">
      <c r="C212" s="25">
        <v>8</v>
      </c>
      <c r="D212" s="123" t="s">
        <v>378</v>
      </c>
      <c r="E212" s="106"/>
      <c r="F212" s="106"/>
      <c r="G212" s="106"/>
      <c r="H212" s="106"/>
      <c r="I212" s="106"/>
      <c r="J212" s="106"/>
      <c r="K212" s="106"/>
      <c r="L212" s="106"/>
      <c r="M212" s="124"/>
      <c r="N212" s="131" t="s">
        <v>16</v>
      </c>
      <c r="O212" s="130"/>
      <c r="P212" s="126"/>
      <c r="Q212" s="127"/>
      <c r="R212" s="128"/>
      <c r="S212" s="17"/>
      <c r="U212" s="19"/>
      <c r="V212" s="19"/>
      <c r="W212" s="19"/>
      <c r="X212" s="19"/>
      <c r="Y212" s="19"/>
      <c r="Z212" s="73">
        <f>E221</f>
        <v>45539</v>
      </c>
      <c r="AA212" s="19"/>
      <c r="AB212" s="19"/>
      <c r="AC212" s="19"/>
      <c r="AD212" s="19"/>
      <c r="AE212" s="19"/>
      <c r="AF212" s="19"/>
      <c r="AG212" s="19"/>
      <c r="AH212" s="19"/>
      <c r="AI212" s="19"/>
      <c r="AJ212" s="19"/>
      <c r="AK212" s="19"/>
    </row>
    <row r="213" spans="3:37" ht="32" customHeight="1" x14ac:dyDescent="0.35">
      <c r="C213" s="25">
        <v>9</v>
      </c>
      <c r="D213" s="80" t="s">
        <v>379</v>
      </c>
      <c r="E213" s="81"/>
      <c r="F213" s="81"/>
      <c r="G213" s="81"/>
      <c r="H213" s="81"/>
      <c r="I213" s="81"/>
      <c r="J213" s="81"/>
      <c r="K213" s="81"/>
      <c r="L213" s="81"/>
      <c r="M213" s="81"/>
      <c r="N213" s="81"/>
      <c r="O213" s="81"/>
      <c r="P213" s="81"/>
      <c r="Q213" s="81"/>
      <c r="R213" s="81"/>
      <c r="S213" s="68" t="str">
        <f>IF(COUNTA(N214:O216)=0,"",IF(COUNTIF(N214:O216,"No")&gt;=1,"NO",IF(COUNTIF(N214:O216,"SUBMITTED WITH OPEN DEFECTS")&gt;=1,"SUBMITTED WITH OPEN DEFECTS",IF(COUNTIF(N214:O216,"Yes")&gt;=1,"YES","NA"))))</f>
        <v>YES</v>
      </c>
      <c r="U213" s="19"/>
      <c r="V213" s="19"/>
      <c r="W213" s="19"/>
      <c r="X213" s="19"/>
      <c r="Y213" s="19"/>
      <c r="Z213" s="19"/>
      <c r="AA213" s="19"/>
      <c r="AB213" s="19"/>
      <c r="AC213" s="19"/>
      <c r="AD213" s="19"/>
      <c r="AE213" s="19"/>
      <c r="AF213" s="19"/>
      <c r="AG213" s="19"/>
      <c r="AH213" s="19"/>
      <c r="AI213" s="19"/>
      <c r="AJ213" s="19"/>
      <c r="AK213" s="19"/>
    </row>
    <row r="214" spans="3:37" ht="39" customHeight="1" x14ac:dyDescent="0.35">
      <c r="C214" s="25" t="s">
        <v>303</v>
      </c>
      <c r="D214" s="123" t="s">
        <v>380</v>
      </c>
      <c r="E214" s="106"/>
      <c r="F214" s="106"/>
      <c r="G214" s="106"/>
      <c r="H214" s="106"/>
      <c r="I214" s="106"/>
      <c r="J214" s="106"/>
      <c r="K214" s="106"/>
      <c r="L214" s="106"/>
      <c r="M214" s="124"/>
      <c r="N214" s="104" t="s">
        <v>11</v>
      </c>
      <c r="O214" s="105"/>
      <c r="P214" s="126"/>
      <c r="Q214" s="127"/>
      <c r="R214" s="128"/>
      <c r="S214" s="36"/>
      <c r="U214" s="19"/>
      <c r="V214" s="19"/>
      <c r="W214" s="19"/>
      <c r="X214" s="19"/>
      <c r="Y214" s="19"/>
      <c r="AA214" s="19"/>
      <c r="AB214" s="19"/>
      <c r="AC214" s="19"/>
      <c r="AD214" s="19"/>
      <c r="AE214" s="19"/>
      <c r="AF214" s="19"/>
      <c r="AG214" s="19"/>
      <c r="AH214" s="19"/>
      <c r="AI214" s="19"/>
      <c r="AJ214" s="19"/>
      <c r="AK214" s="19"/>
    </row>
    <row r="215" spans="3:37" ht="39" customHeight="1" x14ac:dyDescent="0.35">
      <c r="C215" s="25" t="s">
        <v>305</v>
      </c>
      <c r="D215" s="123" t="s">
        <v>381</v>
      </c>
      <c r="E215" s="106"/>
      <c r="F215" s="106"/>
      <c r="G215" s="106"/>
      <c r="H215" s="106"/>
      <c r="I215" s="106"/>
      <c r="J215" s="106"/>
      <c r="K215" s="106"/>
      <c r="L215" s="106"/>
      <c r="M215" s="124"/>
      <c r="N215" s="104" t="s">
        <v>11</v>
      </c>
      <c r="O215" s="105"/>
      <c r="P215" s="126"/>
      <c r="Q215" s="127"/>
      <c r="R215" s="128"/>
      <c r="S215" s="37"/>
      <c r="U215" s="19"/>
      <c r="V215" s="19"/>
      <c r="W215" s="19"/>
      <c r="X215" s="19"/>
      <c r="Y215" s="19"/>
      <c r="AA215" s="19"/>
      <c r="AB215" s="19"/>
      <c r="AC215" s="19"/>
      <c r="AD215" s="19"/>
      <c r="AE215" s="19"/>
      <c r="AF215" s="19"/>
      <c r="AG215" s="19"/>
      <c r="AH215" s="19"/>
      <c r="AI215" s="19"/>
      <c r="AJ215" s="19"/>
      <c r="AK215" s="19"/>
    </row>
    <row r="216" spans="3:37" ht="39" customHeight="1" x14ac:dyDescent="0.35">
      <c r="C216" s="25" t="s">
        <v>382</v>
      </c>
      <c r="D216" s="123" t="s">
        <v>383</v>
      </c>
      <c r="E216" s="106"/>
      <c r="F216" s="106"/>
      <c r="G216" s="106"/>
      <c r="H216" s="106"/>
      <c r="I216" s="106"/>
      <c r="J216" s="106"/>
      <c r="K216" s="106"/>
      <c r="L216" s="106"/>
      <c r="M216" s="124"/>
      <c r="N216" s="104" t="s">
        <v>11</v>
      </c>
      <c r="O216" s="105"/>
      <c r="P216" s="126"/>
      <c r="Q216" s="127"/>
      <c r="R216" s="128"/>
      <c r="S216" s="37"/>
      <c r="U216" s="19"/>
      <c r="V216" s="19"/>
      <c r="W216" s="19"/>
      <c r="X216" s="19"/>
      <c r="Y216" s="19"/>
      <c r="AA216" s="19"/>
      <c r="AB216" s="19"/>
      <c r="AC216" s="19"/>
      <c r="AD216" s="19"/>
      <c r="AE216" s="19"/>
      <c r="AF216" s="19"/>
      <c r="AG216" s="19"/>
      <c r="AH216" s="19"/>
      <c r="AI216" s="19"/>
      <c r="AJ216" s="19"/>
      <c r="AK216" s="19"/>
    </row>
    <row r="217" spans="3:37" ht="39" hidden="1" customHeight="1" x14ac:dyDescent="0.35">
      <c r="C217" s="25" t="s">
        <v>384</v>
      </c>
      <c r="D217" s="123" t="s">
        <v>217</v>
      </c>
      <c r="E217" s="106"/>
      <c r="F217" s="106"/>
      <c r="G217" s="106"/>
      <c r="H217" s="106"/>
      <c r="I217" s="106"/>
      <c r="J217" s="106"/>
      <c r="K217" s="106"/>
      <c r="L217" s="106"/>
      <c r="M217" s="124"/>
      <c r="N217" s="129"/>
      <c r="O217" s="130"/>
      <c r="P217" s="115" t="s">
        <v>514</v>
      </c>
      <c r="Q217" s="115"/>
      <c r="R217" s="115"/>
      <c r="S217" s="17"/>
      <c r="U217" s="19"/>
      <c r="V217" s="19"/>
      <c r="W217" s="19"/>
      <c r="X217" s="19"/>
      <c r="Y217" s="19"/>
      <c r="AA217" s="19"/>
      <c r="AB217" s="19"/>
      <c r="AC217" s="19"/>
      <c r="AD217" s="19"/>
      <c r="AE217" s="19"/>
      <c r="AF217" s="19"/>
      <c r="AG217" s="19"/>
      <c r="AH217" s="19"/>
      <c r="AI217" s="19"/>
      <c r="AJ217" s="19"/>
      <c r="AK217" s="19"/>
    </row>
    <row r="218" spans="3:37" ht="29" customHeight="1" x14ac:dyDescent="0.35">
      <c r="C218" s="116" t="s">
        <v>230</v>
      </c>
      <c r="D218" s="117"/>
      <c r="E218" s="118"/>
      <c r="F218" s="119"/>
      <c r="G218" s="119"/>
      <c r="H218" s="119"/>
      <c r="I218" s="119"/>
      <c r="J218" s="119"/>
      <c r="K218" s="119"/>
      <c r="L218" s="119"/>
      <c r="M218" s="119"/>
      <c r="N218" s="119"/>
      <c r="O218" s="119"/>
      <c r="P218" s="119"/>
      <c r="Q218" s="119"/>
      <c r="R218" s="119"/>
      <c r="S218" s="7"/>
      <c r="U218" s="19"/>
      <c r="V218" s="19"/>
      <c r="W218" s="19"/>
      <c r="X218" s="19"/>
      <c r="Y218" s="19"/>
      <c r="Z218" s="19"/>
      <c r="AA218" s="19"/>
      <c r="AB218" s="19"/>
      <c r="AC218" s="19"/>
      <c r="AD218" s="19"/>
      <c r="AE218" s="19"/>
      <c r="AF218" s="19"/>
      <c r="AG218" s="19"/>
      <c r="AH218" s="19"/>
      <c r="AI218" s="19"/>
      <c r="AJ218" s="19"/>
      <c r="AK218" s="19"/>
    </row>
    <row r="219" spans="3:37" ht="25.5" customHeight="1" x14ac:dyDescent="0.35">
      <c r="C219" s="120" t="s">
        <v>231</v>
      </c>
      <c r="D219" s="121"/>
      <c r="E219" s="121"/>
      <c r="F219" s="121"/>
      <c r="G219" s="121"/>
      <c r="H219" s="121"/>
      <c r="I219" s="121"/>
      <c r="J219" s="121"/>
      <c r="K219" s="121"/>
      <c r="L219" s="121"/>
      <c r="M219" s="121"/>
      <c r="N219" s="121"/>
      <c r="O219" s="121"/>
      <c r="P219" s="121"/>
      <c r="Q219" s="121"/>
      <c r="R219" s="121"/>
      <c r="S219" s="7"/>
      <c r="U219" s="19"/>
      <c r="V219" s="19"/>
      <c r="W219" s="19"/>
      <c r="X219" s="19"/>
      <c r="Y219" s="19"/>
      <c r="Z219" s="19"/>
      <c r="AA219" s="19"/>
      <c r="AB219" s="19"/>
      <c r="AC219" s="19"/>
      <c r="AD219" s="19"/>
      <c r="AE219" s="19"/>
      <c r="AF219" s="19"/>
      <c r="AG219" s="19"/>
      <c r="AH219" s="19"/>
      <c r="AI219" s="19"/>
      <c r="AJ219" s="19"/>
      <c r="AK219" s="19"/>
    </row>
    <row r="220" spans="3:37" ht="38.5" customHeight="1" x14ac:dyDescent="0.35">
      <c r="C220" s="154" t="s">
        <v>232</v>
      </c>
      <c r="D220" s="176"/>
      <c r="E220" s="75" t="s">
        <v>524</v>
      </c>
      <c r="F220" s="122" t="s">
        <v>233</v>
      </c>
      <c r="G220" s="122"/>
      <c r="H220" s="122" t="s">
        <v>234</v>
      </c>
      <c r="I220" s="122"/>
      <c r="J220" s="122" t="s">
        <v>235</v>
      </c>
      <c r="K220" s="122"/>
      <c r="L220" s="122" t="s">
        <v>236</v>
      </c>
      <c r="M220" s="122"/>
      <c r="N220" s="122"/>
      <c r="O220" s="122"/>
      <c r="P220" s="122" t="s">
        <v>237</v>
      </c>
      <c r="Q220" s="122"/>
      <c r="R220" s="122"/>
      <c r="S220" s="7"/>
      <c r="U220" s="19"/>
      <c r="V220" s="19"/>
      <c r="W220" s="19"/>
      <c r="X220" s="19"/>
      <c r="Y220" s="19"/>
      <c r="Z220" s="19"/>
      <c r="AA220" s="19"/>
      <c r="AB220" s="19"/>
      <c r="AC220" s="19"/>
      <c r="AD220" s="19"/>
      <c r="AE220" s="19"/>
      <c r="AF220" s="19"/>
      <c r="AG220" s="19"/>
      <c r="AH220" s="19"/>
      <c r="AI220" s="19"/>
      <c r="AJ220" s="19"/>
      <c r="AK220" s="19"/>
    </row>
    <row r="221" spans="3:37" ht="40" customHeight="1" thickBot="1" x14ac:dyDescent="0.4">
      <c r="C221" s="280" t="s">
        <v>414</v>
      </c>
      <c r="D221" s="281"/>
      <c r="E221" s="77">
        <v>45539</v>
      </c>
      <c r="F221" s="110" t="s">
        <v>12</v>
      </c>
      <c r="G221" s="110"/>
      <c r="H221" s="111">
        <v>45539</v>
      </c>
      <c r="I221" s="112"/>
      <c r="J221" s="113" t="str">
        <f>IF(COUNTA(Z192:Z212)=0,"",IF(COUNTIF(Z192:Z212,"No")&gt;=1,"Defects Raised",IF(COUNTIF(Z192:Z212,"Yes")&gt;=1,"No Defects","")))</f>
        <v>No Defects</v>
      </c>
      <c r="K221" s="113"/>
      <c r="L221" s="112" t="s">
        <v>16</v>
      </c>
      <c r="M221" s="112"/>
      <c r="N221" s="112"/>
      <c r="O221" s="112"/>
      <c r="P221" s="114"/>
      <c r="Q221" s="114"/>
      <c r="R221" s="114"/>
      <c r="S221" s="8"/>
      <c r="U221" s="19"/>
      <c r="V221" s="19"/>
      <c r="W221" s="19"/>
      <c r="X221" s="19"/>
      <c r="Y221" s="19"/>
      <c r="Z221" s="19"/>
      <c r="AA221" s="19"/>
      <c r="AB221" s="19"/>
      <c r="AC221" s="19"/>
      <c r="AD221" s="19"/>
      <c r="AE221" s="19"/>
      <c r="AF221" s="19"/>
      <c r="AG221" s="19"/>
      <c r="AH221" s="19"/>
      <c r="AI221" s="19"/>
      <c r="AJ221" s="19"/>
      <c r="AK221" s="19"/>
    </row>
  </sheetData>
  <sheetProtection algorithmName="SHA-512" hashValue="oFNqenS2ZFFkmCL3GD93iR/+yvlhDSukteSlNlijblLrYlxHzQSCmbiEtU4Ta146Sj4f31q0M2SWyPThwqjOpA==" saltValue="6f+BBpqnvG2aQOmwvKJF3A==" spinCount="100000" sheet="1" objects="1" scenarios="1"/>
  <protectedRanges>
    <protectedRange sqref="AG63:AG79" name="Plage7"/>
    <protectedRange sqref="AG34:AG52" name="Plage7_2"/>
    <protectedRange sqref="AA55:AK56" name="Plage2"/>
    <protectedRange sqref="J55 P55 P56:Q56 O55:O56 R55:S56 J56:L56 J81 P81 P82:Q82 O81:O82 R81:R82 J82:L82 J141 P141 P142:Q142 O141:O142 R141:R142 J142:L142 J179 P179 P180:Q181 O179:O181 R179:R181 J180:L181 J189 P189 P190:Q190 O189:O190 R189:R190 J190:L190 J220 P220 P221:Q221 O220:O221 R220:R221 J221:L221 U55:Z56" name="Plage1"/>
    <protectedRange sqref="AH60:AK62" name="Plage2_1"/>
    <protectedRange sqref="AG58:AG62" name="Plage7_1"/>
    <protectedRange sqref="AG84:AG139" name="Plage7_3"/>
    <protectedRange sqref="AG144:AG176" name="Plage7_4"/>
    <protectedRange sqref="AG182:AG187" name="Plage7_5"/>
    <protectedRange sqref="AG192:AG217" name="Plage7_6"/>
  </protectedRanges>
  <mergeCells count="655">
    <mergeCell ref="C81:D81"/>
    <mergeCell ref="C82:D82"/>
    <mergeCell ref="C141:D141"/>
    <mergeCell ref="C142:D142"/>
    <mergeCell ref="C189:D189"/>
    <mergeCell ref="C190:D190"/>
    <mergeCell ref="C220:D220"/>
    <mergeCell ref="C221:D221"/>
    <mergeCell ref="N65:O65"/>
    <mergeCell ref="D187:M187"/>
    <mergeCell ref="N187:O187"/>
    <mergeCell ref="N87:O87"/>
    <mergeCell ref="C80:R80"/>
    <mergeCell ref="F81:G81"/>
    <mergeCell ref="H81:I81"/>
    <mergeCell ref="J81:K81"/>
    <mergeCell ref="L81:O81"/>
    <mergeCell ref="P81:R81"/>
    <mergeCell ref="D78:M78"/>
    <mergeCell ref="D79:M79"/>
    <mergeCell ref="N78:O78"/>
    <mergeCell ref="P78:R78"/>
    <mergeCell ref="D66:M66"/>
    <mergeCell ref="N66:R66"/>
    <mergeCell ref="P187:R187"/>
    <mergeCell ref="D63:M63"/>
    <mergeCell ref="P63:R63"/>
    <mergeCell ref="D72:M72"/>
    <mergeCell ref="D73:M73"/>
    <mergeCell ref="N72:O72"/>
    <mergeCell ref="C83:S83"/>
    <mergeCell ref="P79:R79"/>
    <mergeCell ref="D77:M77"/>
    <mergeCell ref="N77:O77"/>
    <mergeCell ref="P77:R77"/>
    <mergeCell ref="D75:M75"/>
    <mergeCell ref="N75:O75"/>
    <mergeCell ref="P75:R75"/>
    <mergeCell ref="F82:G82"/>
    <mergeCell ref="H82:I82"/>
    <mergeCell ref="J82:K82"/>
    <mergeCell ref="L82:O82"/>
    <mergeCell ref="P82:R82"/>
    <mergeCell ref="N63:O63"/>
    <mergeCell ref="D65:M65"/>
    <mergeCell ref="P65:R65"/>
    <mergeCell ref="N79:O79"/>
    <mergeCell ref="D89:M89"/>
    <mergeCell ref="P73:R73"/>
    <mergeCell ref="D71:M71"/>
    <mergeCell ref="N71:O71"/>
    <mergeCell ref="P71:R71"/>
    <mergeCell ref="D67:M67"/>
    <mergeCell ref="D69:M69"/>
    <mergeCell ref="N67:O67"/>
    <mergeCell ref="N69:O69"/>
    <mergeCell ref="P67:R67"/>
    <mergeCell ref="P69:R69"/>
    <mergeCell ref="D68:M68"/>
    <mergeCell ref="N68:R68"/>
    <mergeCell ref="D70:M70"/>
    <mergeCell ref="N70:R70"/>
    <mergeCell ref="N73:O73"/>
    <mergeCell ref="P72:R72"/>
    <mergeCell ref="I19:K19"/>
    <mergeCell ref="I20:K20"/>
    <mergeCell ref="F16:H16"/>
    <mergeCell ref="F17:H17"/>
    <mergeCell ref="F19:H19"/>
    <mergeCell ref="F20:H20"/>
    <mergeCell ref="D33:M33"/>
    <mergeCell ref="N33:O33"/>
    <mergeCell ref="P33:R33"/>
    <mergeCell ref="P31:R31"/>
    <mergeCell ref="D31:M31"/>
    <mergeCell ref="N30:O30"/>
    <mergeCell ref="N31:O31"/>
    <mergeCell ref="C18:E18"/>
    <mergeCell ref="F18:H18"/>
    <mergeCell ref="I18:K18"/>
    <mergeCell ref="L18:N18"/>
    <mergeCell ref="O18:P18"/>
    <mergeCell ref="Q18:R18"/>
    <mergeCell ref="I16:K16"/>
    <mergeCell ref="D28:M28"/>
    <mergeCell ref="N28:R28"/>
    <mergeCell ref="D32:M32"/>
    <mergeCell ref="N32:R32"/>
    <mergeCell ref="Q14:R14"/>
    <mergeCell ref="Q15:R15"/>
    <mergeCell ref="Q16:R16"/>
    <mergeCell ref="Q17:R17"/>
    <mergeCell ref="Q19:R19"/>
    <mergeCell ref="Q20:R20"/>
    <mergeCell ref="O16:P16"/>
    <mergeCell ref="O17:P17"/>
    <mergeCell ref="O19:P19"/>
    <mergeCell ref="O20:P20"/>
    <mergeCell ref="O14:P14"/>
    <mergeCell ref="O15:P15"/>
    <mergeCell ref="D29:M29"/>
    <mergeCell ref="N29:O29"/>
    <mergeCell ref="P29:R29"/>
    <mergeCell ref="D30:M30"/>
    <mergeCell ref="P30:R30"/>
    <mergeCell ref="C27:M27"/>
    <mergeCell ref="N27:O27"/>
    <mergeCell ref="P27:R27"/>
    <mergeCell ref="C21:R21"/>
    <mergeCell ref="Q22:R22"/>
    <mergeCell ref="Q23:R23"/>
    <mergeCell ref="Q24:R24"/>
    <mergeCell ref="Q25:R25"/>
    <mergeCell ref="Q26:R26"/>
    <mergeCell ref="Q8:R8"/>
    <mergeCell ref="Q9:R9"/>
    <mergeCell ref="Q10:R10"/>
    <mergeCell ref="Q11:R11"/>
    <mergeCell ref="Q12:R12"/>
    <mergeCell ref="Q13:R13"/>
    <mergeCell ref="O10:P10"/>
    <mergeCell ref="O11:P11"/>
    <mergeCell ref="O12:P12"/>
    <mergeCell ref="O13:P13"/>
    <mergeCell ref="O8:P8"/>
    <mergeCell ref="O9:P9"/>
    <mergeCell ref="C4:N6"/>
    <mergeCell ref="L10:N10"/>
    <mergeCell ref="C8:E8"/>
    <mergeCell ref="F12:H12"/>
    <mergeCell ref="I12:K12"/>
    <mergeCell ref="C16:E16"/>
    <mergeCell ref="C17:E17"/>
    <mergeCell ref="I13:K13"/>
    <mergeCell ref="I14:K14"/>
    <mergeCell ref="C7:E7"/>
    <mergeCell ref="F7:N7"/>
    <mergeCell ref="C9:E9"/>
    <mergeCell ref="C10:E10"/>
    <mergeCell ref="C11:E11"/>
    <mergeCell ref="F11:H11"/>
    <mergeCell ref="I11:K11"/>
    <mergeCell ref="F10:H10"/>
    <mergeCell ref="L11:N11"/>
    <mergeCell ref="F8:N8"/>
    <mergeCell ref="F9:N9"/>
    <mergeCell ref="I10:K10"/>
    <mergeCell ref="F13:H13"/>
    <mergeCell ref="F14:H14"/>
    <mergeCell ref="F15:H15"/>
    <mergeCell ref="O4:P4"/>
    <mergeCell ref="O5:P5"/>
    <mergeCell ref="O6:P6"/>
    <mergeCell ref="Q4:R4"/>
    <mergeCell ref="Q5:R5"/>
    <mergeCell ref="Q6:R6"/>
    <mergeCell ref="O7:P7"/>
    <mergeCell ref="Q7:R7"/>
    <mergeCell ref="C20:E20"/>
    <mergeCell ref="L20:N20"/>
    <mergeCell ref="I17:K17"/>
    <mergeCell ref="L15:N15"/>
    <mergeCell ref="L16:N16"/>
    <mergeCell ref="L17:N17"/>
    <mergeCell ref="L19:N19"/>
    <mergeCell ref="I15:K15"/>
    <mergeCell ref="L12:N12"/>
    <mergeCell ref="L13:N13"/>
    <mergeCell ref="L14:N14"/>
    <mergeCell ref="C19:E19"/>
    <mergeCell ref="C12:E12"/>
    <mergeCell ref="C13:E13"/>
    <mergeCell ref="C14:E14"/>
    <mergeCell ref="C15:E15"/>
    <mergeCell ref="D40:M40"/>
    <mergeCell ref="D41:M41"/>
    <mergeCell ref="D42:M42"/>
    <mergeCell ref="D44:M44"/>
    <mergeCell ref="D34:M34"/>
    <mergeCell ref="N34:R34"/>
    <mergeCell ref="D35:M35"/>
    <mergeCell ref="D36:M36"/>
    <mergeCell ref="D38:M38"/>
    <mergeCell ref="D43:M43"/>
    <mergeCell ref="N43:R43"/>
    <mergeCell ref="D45:M45"/>
    <mergeCell ref="D46:M46"/>
    <mergeCell ref="N35:O35"/>
    <mergeCell ref="N36:O36"/>
    <mergeCell ref="N38:O38"/>
    <mergeCell ref="N40:O40"/>
    <mergeCell ref="N41:O41"/>
    <mergeCell ref="N42:O42"/>
    <mergeCell ref="N44:O44"/>
    <mergeCell ref="N45:O45"/>
    <mergeCell ref="N46:O46"/>
    <mergeCell ref="D37:M37"/>
    <mergeCell ref="N37:R37"/>
    <mergeCell ref="D39:M39"/>
    <mergeCell ref="N39:R39"/>
    <mergeCell ref="P35:R35"/>
    <mergeCell ref="P36:R36"/>
    <mergeCell ref="P38:R38"/>
    <mergeCell ref="P45:R45"/>
    <mergeCell ref="P46:R46"/>
    <mergeCell ref="P40:R40"/>
    <mergeCell ref="P41:R41"/>
    <mergeCell ref="P42:R42"/>
    <mergeCell ref="P44:R44"/>
    <mergeCell ref="C54:R54"/>
    <mergeCell ref="P48:R48"/>
    <mergeCell ref="P49:R49"/>
    <mergeCell ref="P50:R50"/>
    <mergeCell ref="P51:R51"/>
    <mergeCell ref="P52:R52"/>
    <mergeCell ref="C53:E53"/>
    <mergeCell ref="F53:R53"/>
    <mergeCell ref="D48:M48"/>
    <mergeCell ref="D49:M49"/>
    <mergeCell ref="D50:M50"/>
    <mergeCell ref="D51:M51"/>
    <mergeCell ref="D52:M52"/>
    <mergeCell ref="N48:O48"/>
    <mergeCell ref="N49:O49"/>
    <mergeCell ref="N50:O50"/>
    <mergeCell ref="N51:O51"/>
    <mergeCell ref="N52:O52"/>
    <mergeCell ref="C55:D55"/>
    <mergeCell ref="D62:M62"/>
    <mergeCell ref="N62:O62"/>
    <mergeCell ref="P62:R62"/>
    <mergeCell ref="P55:R55"/>
    <mergeCell ref="H55:I55"/>
    <mergeCell ref="H56:I56"/>
    <mergeCell ref="J55:K55"/>
    <mergeCell ref="J56:K56"/>
    <mergeCell ref="L56:O56"/>
    <mergeCell ref="L55:O55"/>
    <mergeCell ref="P56:R56"/>
    <mergeCell ref="F55:G55"/>
    <mergeCell ref="F56:G56"/>
    <mergeCell ref="C57:R57"/>
    <mergeCell ref="D59:M59"/>
    <mergeCell ref="N59:O59"/>
    <mergeCell ref="P59:R59"/>
    <mergeCell ref="D60:M60"/>
    <mergeCell ref="N60:O60"/>
    <mergeCell ref="P60:R60"/>
    <mergeCell ref="C56:D56"/>
    <mergeCell ref="N76:R76"/>
    <mergeCell ref="P98:R98"/>
    <mergeCell ref="N88:O88"/>
    <mergeCell ref="N89:O89"/>
    <mergeCell ref="P87:R87"/>
    <mergeCell ref="P88:R88"/>
    <mergeCell ref="P89:R89"/>
    <mergeCell ref="D93:M93"/>
    <mergeCell ref="D94:M94"/>
    <mergeCell ref="D90:M90"/>
    <mergeCell ref="D91:M91"/>
    <mergeCell ref="N90:O90"/>
    <mergeCell ref="N91:O91"/>
    <mergeCell ref="N93:O93"/>
    <mergeCell ref="N94:O94"/>
    <mergeCell ref="P90:R90"/>
    <mergeCell ref="P91:R91"/>
    <mergeCell ref="P93:R93"/>
    <mergeCell ref="P94:R94"/>
    <mergeCell ref="D92:M92"/>
    <mergeCell ref="N92:R92"/>
    <mergeCell ref="D96:M96"/>
    <mergeCell ref="N96:R96"/>
    <mergeCell ref="D87:M87"/>
    <mergeCell ref="D88:M88"/>
    <mergeCell ref="D104:M104"/>
    <mergeCell ref="D105:M105"/>
    <mergeCell ref="N102:O102"/>
    <mergeCell ref="N104:O104"/>
    <mergeCell ref="N105:O105"/>
    <mergeCell ref="P102:R102"/>
    <mergeCell ref="P104:R104"/>
    <mergeCell ref="P105:R105"/>
    <mergeCell ref="D99:M99"/>
    <mergeCell ref="D100:M100"/>
    <mergeCell ref="D101:M101"/>
    <mergeCell ref="N99:O99"/>
    <mergeCell ref="N100:O100"/>
    <mergeCell ref="N101:O101"/>
    <mergeCell ref="P99:R99"/>
    <mergeCell ref="P100:R100"/>
    <mergeCell ref="P101:R101"/>
    <mergeCell ref="D103:M103"/>
    <mergeCell ref="N103:R103"/>
    <mergeCell ref="N113:O113"/>
    <mergeCell ref="D106:M106"/>
    <mergeCell ref="D107:M107"/>
    <mergeCell ref="D108:M108"/>
    <mergeCell ref="N106:O106"/>
    <mergeCell ref="N107:O107"/>
    <mergeCell ref="N108:O108"/>
    <mergeCell ref="P106:R106"/>
    <mergeCell ref="P107:R107"/>
    <mergeCell ref="P108:R108"/>
    <mergeCell ref="D109:M109"/>
    <mergeCell ref="D110:M110"/>
    <mergeCell ref="D112:M112"/>
    <mergeCell ref="N109:O109"/>
    <mergeCell ref="N110:O110"/>
    <mergeCell ref="N112:O112"/>
    <mergeCell ref="P109:R109"/>
    <mergeCell ref="P110:R110"/>
    <mergeCell ref="P112:R112"/>
    <mergeCell ref="D111:M111"/>
    <mergeCell ref="N111:R111"/>
    <mergeCell ref="D121:M121"/>
    <mergeCell ref="N121:R121"/>
    <mergeCell ref="N132:R132"/>
    <mergeCell ref="N114:O114"/>
    <mergeCell ref="N115:O115"/>
    <mergeCell ref="N117:O117"/>
    <mergeCell ref="P113:R113"/>
    <mergeCell ref="P114:R114"/>
    <mergeCell ref="P115:R115"/>
    <mergeCell ref="P117:R117"/>
    <mergeCell ref="D116:M116"/>
    <mergeCell ref="N116:R116"/>
    <mergeCell ref="D118:M118"/>
    <mergeCell ref="D119:M119"/>
    <mergeCell ref="D120:M120"/>
    <mergeCell ref="N118:O118"/>
    <mergeCell ref="N119:O119"/>
    <mergeCell ref="N120:O120"/>
    <mergeCell ref="P118:R118"/>
    <mergeCell ref="P119:R119"/>
    <mergeCell ref="D113:M113"/>
    <mergeCell ref="D114:M114"/>
    <mergeCell ref="D115:M115"/>
    <mergeCell ref="D117:M117"/>
    <mergeCell ref="P120:R120"/>
    <mergeCell ref="D134:M134"/>
    <mergeCell ref="N134:R134"/>
    <mergeCell ref="D122:M122"/>
    <mergeCell ref="D123:M123"/>
    <mergeCell ref="D124:M124"/>
    <mergeCell ref="D125:M125"/>
    <mergeCell ref="N122:O122"/>
    <mergeCell ref="N123:O123"/>
    <mergeCell ref="N124:O124"/>
    <mergeCell ref="N125:O125"/>
    <mergeCell ref="P122:R122"/>
    <mergeCell ref="P123:R123"/>
    <mergeCell ref="P124:R124"/>
    <mergeCell ref="P125:R125"/>
    <mergeCell ref="D126:M126"/>
    <mergeCell ref="N126:R126"/>
    <mergeCell ref="P131:R131"/>
    <mergeCell ref="P133:R133"/>
    <mergeCell ref="D127:M127"/>
    <mergeCell ref="D128:M128"/>
    <mergeCell ref="D130:M130"/>
    <mergeCell ref="N127:O127"/>
    <mergeCell ref="N128:O128"/>
    <mergeCell ref="N130:O130"/>
    <mergeCell ref="P127:R127"/>
    <mergeCell ref="P128:R128"/>
    <mergeCell ref="P130:R130"/>
    <mergeCell ref="D129:M129"/>
    <mergeCell ref="N129:R129"/>
    <mergeCell ref="D132:M132"/>
    <mergeCell ref="P142:R142"/>
    <mergeCell ref="D137:M137"/>
    <mergeCell ref="D138:M138"/>
    <mergeCell ref="N137:O137"/>
    <mergeCell ref="N138:O138"/>
    <mergeCell ref="P137:R137"/>
    <mergeCell ref="P138:R138"/>
    <mergeCell ref="D135:M135"/>
    <mergeCell ref="D136:M136"/>
    <mergeCell ref="N135:O135"/>
    <mergeCell ref="N136:O136"/>
    <mergeCell ref="P135:R135"/>
    <mergeCell ref="P136:R136"/>
    <mergeCell ref="D131:M131"/>
    <mergeCell ref="D133:M133"/>
    <mergeCell ref="N131:O131"/>
    <mergeCell ref="N133:O133"/>
    <mergeCell ref="D146:M146"/>
    <mergeCell ref="D147:M147"/>
    <mergeCell ref="N146:O146"/>
    <mergeCell ref="N147:O147"/>
    <mergeCell ref="P146:R146"/>
    <mergeCell ref="P147:R147"/>
    <mergeCell ref="C139:E139"/>
    <mergeCell ref="F139:R139"/>
    <mergeCell ref="C143:R143"/>
    <mergeCell ref="D144:M144"/>
    <mergeCell ref="N144:O144"/>
    <mergeCell ref="P144:R144"/>
    <mergeCell ref="C140:R140"/>
    <mergeCell ref="F141:G141"/>
    <mergeCell ref="H141:I141"/>
    <mergeCell ref="J141:K141"/>
    <mergeCell ref="L141:O141"/>
    <mergeCell ref="P141:R141"/>
    <mergeCell ref="F142:G142"/>
    <mergeCell ref="H142:I142"/>
    <mergeCell ref="J142:K142"/>
    <mergeCell ref="L142:O142"/>
    <mergeCell ref="P155:R155"/>
    <mergeCell ref="P156:R156"/>
    <mergeCell ref="P157:R157"/>
    <mergeCell ref="P158:R158"/>
    <mergeCell ref="P159:R159"/>
    <mergeCell ref="P151:R151"/>
    <mergeCell ref="D148:M148"/>
    <mergeCell ref="D150:M150"/>
    <mergeCell ref="N148:O148"/>
    <mergeCell ref="N150:O150"/>
    <mergeCell ref="P148:R148"/>
    <mergeCell ref="P150:R150"/>
    <mergeCell ref="P152:R152"/>
    <mergeCell ref="P153:R153"/>
    <mergeCell ref="D157:M157"/>
    <mergeCell ref="D158:M158"/>
    <mergeCell ref="D159:M159"/>
    <mergeCell ref="N157:O157"/>
    <mergeCell ref="N158:O158"/>
    <mergeCell ref="N159:O159"/>
    <mergeCell ref="D151:M151"/>
    <mergeCell ref="D152:M152"/>
    <mergeCell ref="D153:M153"/>
    <mergeCell ref="D155:M155"/>
    <mergeCell ref="D156:M156"/>
    <mergeCell ref="N151:O151"/>
    <mergeCell ref="N152:O152"/>
    <mergeCell ref="N153:O153"/>
    <mergeCell ref="N155:O155"/>
    <mergeCell ref="N156:O156"/>
    <mergeCell ref="D163:M163"/>
    <mergeCell ref="D164:M164"/>
    <mergeCell ref="D165:M165"/>
    <mergeCell ref="N163:O163"/>
    <mergeCell ref="N164:O164"/>
    <mergeCell ref="N165:O165"/>
    <mergeCell ref="P164:R164"/>
    <mergeCell ref="P165:R165"/>
    <mergeCell ref="D160:M160"/>
    <mergeCell ref="D161:M161"/>
    <mergeCell ref="D162:M162"/>
    <mergeCell ref="N160:O160"/>
    <mergeCell ref="N161:O161"/>
    <mergeCell ref="N162:O162"/>
    <mergeCell ref="P160:R160"/>
    <mergeCell ref="P161:R161"/>
    <mergeCell ref="P162:R162"/>
    <mergeCell ref="P163:R163"/>
    <mergeCell ref="D172:M172"/>
    <mergeCell ref="N172:R172"/>
    <mergeCell ref="D169:M169"/>
    <mergeCell ref="D171:M171"/>
    <mergeCell ref="N169:O169"/>
    <mergeCell ref="N171:O171"/>
    <mergeCell ref="P169:R169"/>
    <mergeCell ref="P171:R171"/>
    <mergeCell ref="D167:M167"/>
    <mergeCell ref="D168:M168"/>
    <mergeCell ref="N167:O167"/>
    <mergeCell ref="N168:O168"/>
    <mergeCell ref="P167:R167"/>
    <mergeCell ref="P168:R168"/>
    <mergeCell ref="D173:M173"/>
    <mergeCell ref="D174:M174"/>
    <mergeCell ref="D175:M175"/>
    <mergeCell ref="D176:M176"/>
    <mergeCell ref="N173:O173"/>
    <mergeCell ref="N174:O174"/>
    <mergeCell ref="N175:O175"/>
    <mergeCell ref="N176:O176"/>
    <mergeCell ref="P173:R173"/>
    <mergeCell ref="P174:R174"/>
    <mergeCell ref="P175:R175"/>
    <mergeCell ref="P176:R176"/>
    <mergeCell ref="F177:R177"/>
    <mergeCell ref="C178:R178"/>
    <mergeCell ref="F179:G179"/>
    <mergeCell ref="H179:I179"/>
    <mergeCell ref="J179:K179"/>
    <mergeCell ref="L179:O179"/>
    <mergeCell ref="P179:R179"/>
    <mergeCell ref="F180:G180"/>
    <mergeCell ref="H180:I180"/>
    <mergeCell ref="J180:K180"/>
    <mergeCell ref="L180:O180"/>
    <mergeCell ref="P180:R180"/>
    <mergeCell ref="C177:E177"/>
    <mergeCell ref="C179:D179"/>
    <mergeCell ref="C180:D180"/>
    <mergeCell ref="D182:M182"/>
    <mergeCell ref="D183:M183"/>
    <mergeCell ref="D184:M184"/>
    <mergeCell ref="D185:M185"/>
    <mergeCell ref="D186:M186"/>
    <mergeCell ref="C181:M181"/>
    <mergeCell ref="N181:O181"/>
    <mergeCell ref="P181:R181"/>
    <mergeCell ref="N182:O182"/>
    <mergeCell ref="N183:O183"/>
    <mergeCell ref="N184:O184"/>
    <mergeCell ref="N185:O185"/>
    <mergeCell ref="N186:O186"/>
    <mergeCell ref="P182:R182"/>
    <mergeCell ref="P183:R183"/>
    <mergeCell ref="P184:R184"/>
    <mergeCell ref="P185:R185"/>
    <mergeCell ref="P186:R186"/>
    <mergeCell ref="D203:M203"/>
    <mergeCell ref="D204:M204"/>
    <mergeCell ref="P203:R203"/>
    <mergeCell ref="P204:R204"/>
    <mergeCell ref="C188:R188"/>
    <mergeCell ref="F189:G189"/>
    <mergeCell ref="H189:I189"/>
    <mergeCell ref="J189:K189"/>
    <mergeCell ref="L189:O189"/>
    <mergeCell ref="P189:R189"/>
    <mergeCell ref="F190:G190"/>
    <mergeCell ref="H190:I190"/>
    <mergeCell ref="J190:K190"/>
    <mergeCell ref="L190:O190"/>
    <mergeCell ref="P190:R190"/>
    <mergeCell ref="D194:M194"/>
    <mergeCell ref="N194:R194"/>
    <mergeCell ref="D201:M201"/>
    <mergeCell ref="N201:R201"/>
    <mergeCell ref="C191:R191"/>
    <mergeCell ref="P210:R210"/>
    <mergeCell ref="P211:R211"/>
    <mergeCell ref="P212:R212"/>
    <mergeCell ref="N215:O215"/>
    <mergeCell ref="N216:O216"/>
    <mergeCell ref="N217:O217"/>
    <mergeCell ref="D192:M192"/>
    <mergeCell ref="D193:M193"/>
    <mergeCell ref="D195:M195"/>
    <mergeCell ref="D196:M196"/>
    <mergeCell ref="D197:M197"/>
    <mergeCell ref="D198:M198"/>
    <mergeCell ref="D199:M199"/>
    <mergeCell ref="D200:M200"/>
    <mergeCell ref="D214:M214"/>
    <mergeCell ref="D215:M215"/>
    <mergeCell ref="D216:M216"/>
    <mergeCell ref="P214:R214"/>
    <mergeCell ref="P215:R215"/>
    <mergeCell ref="P216:R216"/>
    <mergeCell ref="N203:O203"/>
    <mergeCell ref="N204:O204"/>
    <mergeCell ref="N206:O206"/>
    <mergeCell ref="D202:M202"/>
    <mergeCell ref="N207:O207"/>
    <mergeCell ref="N208:O208"/>
    <mergeCell ref="N210:O210"/>
    <mergeCell ref="N211:O211"/>
    <mergeCell ref="N212:O212"/>
    <mergeCell ref="N214:O214"/>
    <mergeCell ref="D210:M210"/>
    <mergeCell ref="D211:M211"/>
    <mergeCell ref="D212:M212"/>
    <mergeCell ref="D206:M206"/>
    <mergeCell ref="D207:M207"/>
    <mergeCell ref="D208:M208"/>
    <mergeCell ref="P206:R206"/>
    <mergeCell ref="P207:R207"/>
    <mergeCell ref="P208:R208"/>
    <mergeCell ref="N192:O192"/>
    <mergeCell ref="N193:O193"/>
    <mergeCell ref="N195:O195"/>
    <mergeCell ref="N196:O196"/>
    <mergeCell ref="N197:O197"/>
    <mergeCell ref="N198:O198"/>
    <mergeCell ref="N199:O199"/>
    <mergeCell ref="N200:O200"/>
    <mergeCell ref="N202:O202"/>
    <mergeCell ref="P192:R192"/>
    <mergeCell ref="P193:R193"/>
    <mergeCell ref="P195:R195"/>
    <mergeCell ref="P196:R196"/>
    <mergeCell ref="P197:R197"/>
    <mergeCell ref="P198:R198"/>
    <mergeCell ref="P199:R199"/>
    <mergeCell ref="P200:R200"/>
    <mergeCell ref="P202:R202"/>
    <mergeCell ref="F221:G221"/>
    <mergeCell ref="H221:I221"/>
    <mergeCell ref="J221:K221"/>
    <mergeCell ref="L221:O221"/>
    <mergeCell ref="P221:R221"/>
    <mergeCell ref="P217:R217"/>
    <mergeCell ref="C218:E218"/>
    <mergeCell ref="F218:R218"/>
    <mergeCell ref="C219:R219"/>
    <mergeCell ref="F220:G220"/>
    <mergeCell ref="H220:I220"/>
    <mergeCell ref="J220:K220"/>
    <mergeCell ref="L220:O220"/>
    <mergeCell ref="P220:R220"/>
    <mergeCell ref="D217:M217"/>
    <mergeCell ref="D47:M47"/>
    <mergeCell ref="N47:R47"/>
    <mergeCell ref="D58:M58"/>
    <mergeCell ref="N58:R58"/>
    <mergeCell ref="D61:M61"/>
    <mergeCell ref="N61:R61"/>
    <mergeCell ref="D64:M64"/>
    <mergeCell ref="N64:R64"/>
    <mergeCell ref="D102:M102"/>
    <mergeCell ref="D95:M95"/>
    <mergeCell ref="D97:M97"/>
    <mergeCell ref="D98:M98"/>
    <mergeCell ref="N95:O95"/>
    <mergeCell ref="N97:O97"/>
    <mergeCell ref="N98:O98"/>
    <mergeCell ref="D85:M85"/>
    <mergeCell ref="D86:M86"/>
    <mergeCell ref="D84:R84"/>
    <mergeCell ref="N85:O85"/>
    <mergeCell ref="N86:O86"/>
    <mergeCell ref="P85:R85"/>
    <mergeCell ref="P86:R86"/>
    <mergeCell ref="P95:R95"/>
    <mergeCell ref="P97:R97"/>
    <mergeCell ref="D205:M205"/>
    <mergeCell ref="N205:R205"/>
    <mergeCell ref="D209:M209"/>
    <mergeCell ref="N209:R209"/>
    <mergeCell ref="D213:M213"/>
    <mergeCell ref="N213:R213"/>
    <mergeCell ref="C22:P22"/>
    <mergeCell ref="C23:P23"/>
    <mergeCell ref="C24:P24"/>
    <mergeCell ref="C25:P25"/>
    <mergeCell ref="C26:P26"/>
    <mergeCell ref="D145:M145"/>
    <mergeCell ref="N145:R145"/>
    <mergeCell ref="D149:M149"/>
    <mergeCell ref="N149:R149"/>
    <mergeCell ref="D154:M154"/>
    <mergeCell ref="N154:R154"/>
    <mergeCell ref="D166:M166"/>
    <mergeCell ref="N166:R166"/>
    <mergeCell ref="D170:M170"/>
    <mergeCell ref="N170:R170"/>
    <mergeCell ref="D74:M74"/>
    <mergeCell ref="N74:R74"/>
    <mergeCell ref="D76:M76"/>
  </mergeCells>
  <conditionalFormatting sqref="L14">
    <cfRule type="expression" dxfId="557" priority="827">
      <formula>$F$14="Mono Site"</formula>
    </cfRule>
  </conditionalFormatting>
  <conditionalFormatting sqref="L15:N15">
    <cfRule type="expression" dxfId="556" priority="826">
      <formula>$F$15="Still to be activated"</formula>
    </cfRule>
  </conditionalFormatting>
  <conditionalFormatting sqref="Q15:R15">
    <cfRule type="expression" dxfId="555" priority="825">
      <formula>$F$15="Still to be activated"</formula>
    </cfRule>
  </conditionalFormatting>
  <conditionalFormatting sqref="L20:N20">
    <cfRule type="expression" dxfId="554" priority="824">
      <formula>$F$20="No"</formula>
    </cfRule>
  </conditionalFormatting>
  <conditionalFormatting sqref="Q20:R20">
    <cfRule type="expression" dxfId="553" priority="823">
      <formula>$F$20="NO"</formula>
    </cfRule>
  </conditionalFormatting>
  <conditionalFormatting sqref="N59:O59">
    <cfRule type="expression" dxfId="552" priority="766">
      <formula>$N59="NA"</formula>
    </cfRule>
    <cfRule type="expression" dxfId="551" priority="767">
      <formula>$N59="NO"</formula>
    </cfRule>
    <cfRule type="expression" dxfId="550" priority="768">
      <formula>$N59="YES"</formula>
    </cfRule>
  </conditionalFormatting>
  <conditionalFormatting sqref="N60:O60">
    <cfRule type="expression" dxfId="549" priority="763">
      <formula>$N60="NA"</formula>
    </cfRule>
    <cfRule type="expression" dxfId="548" priority="764">
      <formula>$N60="NO"</formula>
    </cfRule>
    <cfRule type="expression" dxfId="547" priority="765">
      <formula>$N60="YES"</formula>
    </cfRule>
  </conditionalFormatting>
  <conditionalFormatting sqref="N62:O62">
    <cfRule type="expression" dxfId="546" priority="760">
      <formula>$N62="NA"</formula>
    </cfRule>
    <cfRule type="expression" dxfId="545" priority="761">
      <formula>$N62="NO"</formula>
    </cfRule>
    <cfRule type="expression" dxfId="544" priority="762">
      <formula>$N62="YES"</formula>
    </cfRule>
  </conditionalFormatting>
  <conditionalFormatting sqref="N63:O63">
    <cfRule type="expression" dxfId="543" priority="757">
      <formula>$N63="NA"</formula>
    </cfRule>
    <cfRule type="expression" dxfId="542" priority="758">
      <formula>$N63="NO"</formula>
    </cfRule>
    <cfRule type="expression" dxfId="541" priority="759">
      <formula>$N63="YES"</formula>
    </cfRule>
  </conditionalFormatting>
  <conditionalFormatting sqref="N65:O65">
    <cfRule type="expression" dxfId="540" priority="754">
      <formula>$N65="NA"</formula>
    </cfRule>
    <cfRule type="expression" dxfId="539" priority="755">
      <formula>$N65="NO"</formula>
    </cfRule>
    <cfRule type="expression" dxfId="538" priority="756">
      <formula>$N65="YES"</formula>
    </cfRule>
  </conditionalFormatting>
  <conditionalFormatting sqref="N67:O67">
    <cfRule type="expression" dxfId="537" priority="751">
      <formula>$N67="NA"</formula>
    </cfRule>
    <cfRule type="expression" dxfId="536" priority="752">
      <formula>$N67="NO"</formula>
    </cfRule>
    <cfRule type="expression" dxfId="535" priority="753">
      <formula>$N67="YES"</formula>
    </cfRule>
  </conditionalFormatting>
  <conditionalFormatting sqref="N69:O69">
    <cfRule type="expression" dxfId="534" priority="748">
      <formula>$N69="NA"</formula>
    </cfRule>
    <cfRule type="expression" dxfId="533" priority="749">
      <formula>$N69="NO"</formula>
    </cfRule>
    <cfRule type="expression" dxfId="532" priority="750">
      <formula>$N69="YES"</formula>
    </cfRule>
  </conditionalFormatting>
  <conditionalFormatting sqref="N71:O71">
    <cfRule type="expression" dxfId="531" priority="745">
      <formula>$N71="NA"</formula>
    </cfRule>
    <cfRule type="expression" dxfId="530" priority="746">
      <formula>$N71="NO"</formula>
    </cfRule>
    <cfRule type="expression" dxfId="529" priority="747">
      <formula>$N71="YES"</formula>
    </cfRule>
  </conditionalFormatting>
  <conditionalFormatting sqref="N72:O72">
    <cfRule type="expression" dxfId="528" priority="742">
      <formula>$N72="NA"</formula>
    </cfRule>
    <cfRule type="expression" dxfId="527" priority="743">
      <formula>$N72="NO"</formula>
    </cfRule>
    <cfRule type="expression" dxfId="526" priority="744">
      <formula>$N72="YES"</formula>
    </cfRule>
  </conditionalFormatting>
  <conditionalFormatting sqref="N73:O73">
    <cfRule type="expression" dxfId="525" priority="739">
      <formula>$N73="NA"</formula>
    </cfRule>
    <cfRule type="expression" dxfId="524" priority="740">
      <formula>$N73="NO"</formula>
    </cfRule>
    <cfRule type="expression" dxfId="523" priority="741">
      <formula>$N73="YES"</formula>
    </cfRule>
  </conditionalFormatting>
  <conditionalFormatting sqref="N75:O75">
    <cfRule type="expression" dxfId="522" priority="736">
      <formula>$N75="NA"</formula>
    </cfRule>
    <cfRule type="expression" dxfId="521" priority="737">
      <formula>$N75="NO"</formula>
    </cfRule>
    <cfRule type="expression" dxfId="520" priority="738">
      <formula>$N75="YES"</formula>
    </cfRule>
  </conditionalFormatting>
  <conditionalFormatting sqref="N77:O77">
    <cfRule type="expression" dxfId="519" priority="733">
      <formula>$N77="NA"</formula>
    </cfRule>
    <cfRule type="expression" dxfId="518" priority="734">
      <formula>$N77="NO"</formula>
    </cfRule>
    <cfRule type="expression" dxfId="517" priority="735">
      <formula>$N77="YES"</formula>
    </cfRule>
  </conditionalFormatting>
  <conditionalFormatting sqref="N78:O78">
    <cfRule type="expression" dxfId="516" priority="730">
      <formula>$N78="NA"</formula>
    </cfRule>
    <cfRule type="expression" dxfId="515" priority="731">
      <formula>$N78="NO"</formula>
    </cfRule>
    <cfRule type="expression" dxfId="514" priority="732">
      <formula>$N78="YES"</formula>
    </cfRule>
  </conditionalFormatting>
  <conditionalFormatting sqref="N144:O144">
    <cfRule type="expression" dxfId="513" priority="727">
      <formula>$N144="NA"</formula>
    </cfRule>
    <cfRule type="expression" dxfId="512" priority="728">
      <formula>$N144="NO"</formula>
    </cfRule>
    <cfRule type="expression" dxfId="511" priority="729">
      <formula>$N144="YES"</formula>
    </cfRule>
  </conditionalFormatting>
  <conditionalFormatting sqref="N146:O146">
    <cfRule type="expression" dxfId="510" priority="724">
      <formula>$N146="NA"</formula>
    </cfRule>
    <cfRule type="expression" dxfId="509" priority="725">
      <formula>$N146="NO"</formula>
    </cfRule>
    <cfRule type="expression" dxfId="508" priority="726">
      <formula>$N146="YES"</formula>
    </cfRule>
  </conditionalFormatting>
  <conditionalFormatting sqref="N147:O147">
    <cfRule type="expression" dxfId="507" priority="721">
      <formula>$N147="NA"</formula>
    </cfRule>
    <cfRule type="expression" dxfId="506" priority="722">
      <formula>$N147="NO"</formula>
    </cfRule>
    <cfRule type="expression" dxfId="505" priority="723">
      <formula>$N147="YES"</formula>
    </cfRule>
  </conditionalFormatting>
  <conditionalFormatting sqref="N148:O148">
    <cfRule type="expression" dxfId="504" priority="718">
      <formula>$N148="NA"</formula>
    </cfRule>
    <cfRule type="expression" dxfId="503" priority="719">
      <formula>$N148="NO"</formula>
    </cfRule>
    <cfRule type="expression" dxfId="502" priority="720">
      <formula>$N148="YES"</formula>
    </cfRule>
  </conditionalFormatting>
  <conditionalFormatting sqref="N150:O150">
    <cfRule type="expression" dxfId="501" priority="715">
      <formula>$N150="NA"</formula>
    </cfRule>
    <cfRule type="expression" dxfId="500" priority="716">
      <formula>$N150="NO"</formula>
    </cfRule>
    <cfRule type="expression" dxfId="499" priority="717">
      <formula>$N150="YES"</formula>
    </cfRule>
  </conditionalFormatting>
  <conditionalFormatting sqref="N151:O151">
    <cfRule type="expression" dxfId="498" priority="712">
      <formula>$N151="NA"</formula>
    </cfRule>
    <cfRule type="expression" dxfId="497" priority="713">
      <formula>$N151="NO"</formula>
    </cfRule>
    <cfRule type="expression" dxfId="496" priority="714">
      <formula>$N151="YES"</formula>
    </cfRule>
  </conditionalFormatting>
  <conditionalFormatting sqref="N152:O152">
    <cfRule type="expression" dxfId="495" priority="709">
      <formula>$N152="NA"</formula>
    </cfRule>
    <cfRule type="expression" dxfId="494" priority="710">
      <formula>$N152="NO"</formula>
    </cfRule>
    <cfRule type="expression" dxfId="493" priority="711">
      <formula>$N152="YES"</formula>
    </cfRule>
  </conditionalFormatting>
  <conditionalFormatting sqref="N153:O153">
    <cfRule type="expression" dxfId="492" priority="706">
      <formula>$N153="NA"</formula>
    </cfRule>
    <cfRule type="expression" dxfId="491" priority="707">
      <formula>$N153="NO"</formula>
    </cfRule>
    <cfRule type="expression" dxfId="490" priority="708">
      <formula>$N153="YES"</formula>
    </cfRule>
  </conditionalFormatting>
  <conditionalFormatting sqref="N155:O155">
    <cfRule type="expression" dxfId="489" priority="703">
      <formula>$N155="NA"</formula>
    </cfRule>
    <cfRule type="expression" dxfId="488" priority="704">
      <formula>$N155="NO"</formula>
    </cfRule>
    <cfRule type="expression" dxfId="487" priority="705">
      <formula>$N155="YES"</formula>
    </cfRule>
  </conditionalFormatting>
  <conditionalFormatting sqref="N156:O156">
    <cfRule type="expression" dxfId="486" priority="700">
      <formula>$N156="NA"</formula>
    </cfRule>
    <cfRule type="expression" dxfId="485" priority="701">
      <formula>$N156="NO"</formula>
    </cfRule>
    <cfRule type="expression" dxfId="484" priority="702">
      <formula>$N156="YES"</formula>
    </cfRule>
  </conditionalFormatting>
  <conditionalFormatting sqref="N157:O157">
    <cfRule type="expression" dxfId="483" priority="697">
      <formula>$N157="NA"</formula>
    </cfRule>
    <cfRule type="expression" dxfId="482" priority="698">
      <formula>$N157="NO"</formula>
    </cfRule>
    <cfRule type="expression" dxfId="481" priority="699">
      <formula>$N157="YES"</formula>
    </cfRule>
  </conditionalFormatting>
  <conditionalFormatting sqref="N158:O158">
    <cfRule type="expression" dxfId="480" priority="694">
      <formula>$N158="NA"</formula>
    </cfRule>
    <cfRule type="expression" dxfId="479" priority="695">
      <formula>$N158="NO"</formula>
    </cfRule>
    <cfRule type="expression" dxfId="478" priority="696">
      <formula>$N158="YES"</formula>
    </cfRule>
  </conditionalFormatting>
  <conditionalFormatting sqref="N159:O159">
    <cfRule type="expression" dxfId="477" priority="691">
      <formula>$N159="NA"</formula>
    </cfRule>
    <cfRule type="expression" dxfId="476" priority="692">
      <formula>$N159="NO"</formula>
    </cfRule>
    <cfRule type="expression" dxfId="475" priority="693">
      <formula>$N159="YES"</formula>
    </cfRule>
  </conditionalFormatting>
  <conditionalFormatting sqref="N160:O160">
    <cfRule type="expression" dxfId="474" priority="688">
      <formula>$N160="NA"</formula>
    </cfRule>
    <cfRule type="expression" dxfId="473" priority="689">
      <formula>$N160="NO"</formula>
    </cfRule>
    <cfRule type="expression" dxfId="472" priority="690">
      <formula>$N160="YES"</formula>
    </cfRule>
  </conditionalFormatting>
  <conditionalFormatting sqref="N161:O161">
    <cfRule type="expression" dxfId="471" priority="685">
      <formula>$N161="NA"</formula>
    </cfRule>
    <cfRule type="expression" dxfId="470" priority="686">
      <formula>$N161="NO"</formula>
    </cfRule>
    <cfRule type="expression" dxfId="469" priority="687">
      <formula>$N161="YES"</formula>
    </cfRule>
  </conditionalFormatting>
  <conditionalFormatting sqref="N162:O162">
    <cfRule type="expression" dxfId="468" priority="682">
      <formula>$N162="NA"</formula>
    </cfRule>
    <cfRule type="expression" dxfId="467" priority="683">
      <formula>$N162="NO"</formula>
    </cfRule>
    <cfRule type="expression" dxfId="466" priority="684">
      <formula>$N162="YES"</formula>
    </cfRule>
  </conditionalFormatting>
  <conditionalFormatting sqref="N163:O163">
    <cfRule type="expression" dxfId="465" priority="679">
      <formula>$N163="NA"</formula>
    </cfRule>
    <cfRule type="expression" dxfId="464" priority="680">
      <formula>$N163="NO"</formula>
    </cfRule>
    <cfRule type="expression" dxfId="463" priority="681">
      <formula>$N163="YES"</formula>
    </cfRule>
  </conditionalFormatting>
  <conditionalFormatting sqref="N164:O164">
    <cfRule type="expression" dxfId="462" priority="676">
      <formula>$N164="NA"</formula>
    </cfRule>
    <cfRule type="expression" dxfId="461" priority="677">
      <formula>$N164="NO"</formula>
    </cfRule>
    <cfRule type="expression" dxfId="460" priority="678">
      <formula>$N164="YES"</formula>
    </cfRule>
  </conditionalFormatting>
  <conditionalFormatting sqref="N165:O165">
    <cfRule type="expression" dxfId="459" priority="673">
      <formula>$N165="NA"</formula>
    </cfRule>
    <cfRule type="expression" dxfId="458" priority="674">
      <formula>$N165="NO"</formula>
    </cfRule>
    <cfRule type="expression" dxfId="457" priority="675">
      <formula>$N165="YES"</formula>
    </cfRule>
  </conditionalFormatting>
  <conditionalFormatting sqref="N167:O167">
    <cfRule type="expression" dxfId="456" priority="670">
      <formula>$N167="NA"</formula>
    </cfRule>
    <cfRule type="expression" dxfId="455" priority="671">
      <formula>$N167="NO"</formula>
    </cfRule>
    <cfRule type="expression" dxfId="454" priority="672">
      <formula>$N167="YES"</formula>
    </cfRule>
  </conditionalFormatting>
  <conditionalFormatting sqref="N168:O168">
    <cfRule type="expression" dxfId="453" priority="667">
      <formula>$N168="NA"</formula>
    </cfRule>
    <cfRule type="expression" dxfId="452" priority="668">
      <formula>$N168="NO"</formula>
    </cfRule>
    <cfRule type="expression" dxfId="451" priority="669">
      <formula>$N168="YES"</formula>
    </cfRule>
  </conditionalFormatting>
  <conditionalFormatting sqref="N169:O169">
    <cfRule type="expression" dxfId="450" priority="664">
      <formula>$N169="NA"</formula>
    </cfRule>
    <cfRule type="expression" dxfId="449" priority="665">
      <formula>$N169="NO"</formula>
    </cfRule>
    <cfRule type="expression" dxfId="448" priority="666">
      <formula>$N169="YES"</formula>
    </cfRule>
  </conditionalFormatting>
  <conditionalFormatting sqref="N171:O171">
    <cfRule type="expression" dxfId="447" priority="661">
      <formula>$N171="NA"</formula>
    </cfRule>
    <cfRule type="expression" dxfId="446" priority="662">
      <formula>$N171="NO"</formula>
    </cfRule>
    <cfRule type="expression" dxfId="445" priority="663">
      <formula>$N171="YES"</formula>
    </cfRule>
  </conditionalFormatting>
  <conditionalFormatting sqref="N173:O173">
    <cfRule type="expression" dxfId="444" priority="658">
      <formula>$N173="NA"</formula>
    </cfRule>
    <cfRule type="expression" dxfId="443" priority="659">
      <formula>$N173="NO"</formula>
    </cfRule>
    <cfRule type="expression" dxfId="442" priority="660">
      <formula>$N173="YES"</formula>
    </cfRule>
  </conditionalFormatting>
  <conditionalFormatting sqref="N174:O174">
    <cfRule type="expression" dxfId="441" priority="655">
      <formula>$N174="NA"</formula>
    </cfRule>
    <cfRule type="expression" dxfId="440" priority="656">
      <formula>$N174="NO"</formula>
    </cfRule>
    <cfRule type="expression" dxfId="439" priority="657">
      <formula>$N174="YES"</formula>
    </cfRule>
  </conditionalFormatting>
  <conditionalFormatting sqref="N175:O175">
    <cfRule type="expression" dxfId="438" priority="652">
      <formula>$N175="NA"</formula>
    </cfRule>
    <cfRule type="expression" dxfId="437" priority="653">
      <formula>$N175="NO"</formula>
    </cfRule>
    <cfRule type="expression" dxfId="436" priority="654">
      <formula>$N175="YES"</formula>
    </cfRule>
  </conditionalFormatting>
  <conditionalFormatting sqref="N182:O182">
    <cfRule type="expression" dxfId="435" priority="649">
      <formula>$N182="NA"</formula>
    </cfRule>
    <cfRule type="expression" dxfId="434" priority="650">
      <formula>$N182="NO"</formula>
    </cfRule>
    <cfRule type="expression" dxfId="433" priority="651">
      <formula>$N182="YES"</formula>
    </cfRule>
  </conditionalFormatting>
  <conditionalFormatting sqref="N183:O183">
    <cfRule type="expression" dxfId="432" priority="646">
      <formula>$N183="NA"</formula>
    </cfRule>
    <cfRule type="expression" dxfId="431" priority="647">
      <formula>$N183="NO"</formula>
    </cfRule>
    <cfRule type="expression" dxfId="430" priority="648">
      <formula>$N183="YES"</formula>
    </cfRule>
  </conditionalFormatting>
  <conditionalFormatting sqref="N184:O184">
    <cfRule type="expression" dxfId="429" priority="643">
      <formula>$N184="NA"</formula>
    </cfRule>
    <cfRule type="expression" dxfId="428" priority="644">
      <formula>$N184="NO"</formula>
    </cfRule>
    <cfRule type="expression" dxfId="427" priority="645">
      <formula>$N184="YES"</formula>
    </cfRule>
  </conditionalFormatting>
  <conditionalFormatting sqref="N185:O185">
    <cfRule type="expression" dxfId="426" priority="640">
      <formula>$N185="NA"</formula>
    </cfRule>
    <cfRule type="expression" dxfId="425" priority="641">
      <formula>$N185="NO"</formula>
    </cfRule>
    <cfRule type="expression" dxfId="424" priority="642">
      <formula>$N185="YES"</formula>
    </cfRule>
  </conditionalFormatting>
  <conditionalFormatting sqref="N186:O186">
    <cfRule type="expression" dxfId="423" priority="637">
      <formula>$N186="NA"</formula>
    </cfRule>
    <cfRule type="expression" dxfId="422" priority="638">
      <formula>$N186="NO"</formula>
    </cfRule>
    <cfRule type="expression" dxfId="421" priority="639">
      <formula>$N186="YES"</formula>
    </cfRule>
  </conditionalFormatting>
  <conditionalFormatting sqref="N192:O192">
    <cfRule type="expression" dxfId="420" priority="634">
      <formula>$N192="NA"</formula>
    </cfRule>
    <cfRule type="expression" dxfId="419" priority="635">
      <formula>$N192="NO"</formula>
    </cfRule>
    <cfRule type="expression" dxfId="418" priority="636">
      <formula>$N192="YES"</formula>
    </cfRule>
  </conditionalFormatting>
  <conditionalFormatting sqref="N193:O193">
    <cfRule type="expression" dxfId="417" priority="631">
      <formula>$N193="NA"</formula>
    </cfRule>
    <cfRule type="expression" dxfId="416" priority="632">
      <formula>$N193="NO"</formula>
    </cfRule>
    <cfRule type="expression" dxfId="415" priority="633">
      <formula>$N193="YES"</formula>
    </cfRule>
  </conditionalFormatting>
  <conditionalFormatting sqref="N195:O195">
    <cfRule type="expression" dxfId="414" priority="628">
      <formula>$N195="NA"</formula>
    </cfRule>
    <cfRule type="expression" dxfId="413" priority="629">
      <formula>$N195="NO"</formula>
    </cfRule>
    <cfRule type="expression" dxfId="412" priority="630">
      <formula>$N195="YES"</formula>
    </cfRule>
  </conditionalFormatting>
  <conditionalFormatting sqref="N196:O196">
    <cfRule type="expression" dxfId="411" priority="625">
      <formula>$N196="NA"</formula>
    </cfRule>
    <cfRule type="expression" dxfId="410" priority="626">
      <formula>$N196="NO"</formula>
    </cfRule>
    <cfRule type="expression" dxfId="409" priority="627">
      <formula>$N196="YES"</formula>
    </cfRule>
  </conditionalFormatting>
  <conditionalFormatting sqref="N197:O197">
    <cfRule type="expression" dxfId="408" priority="622">
      <formula>$N197="NA"</formula>
    </cfRule>
    <cfRule type="expression" dxfId="407" priority="623">
      <formula>$N197="NO"</formula>
    </cfRule>
    <cfRule type="expression" dxfId="406" priority="624">
      <formula>$N197="YES"</formula>
    </cfRule>
  </conditionalFormatting>
  <conditionalFormatting sqref="N198:O198">
    <cfRule type="expression" dxfId="405" priority="619">
      <formula>$N198="NA"</formula>
    </cfRule>
    <cfRule type="expression" dxfId="404" priority="620">
      <formula>$N198="NO"</formula>
    </cfRule>
    <cfRule type="expression" dxfId="403" priority="621">
      <formula>$N198="YES"</formula>
    </cfRule>
  </conditionalFormatting>
  <conditionalFormatting sqref="N199:O199">
    <cfRule type="expression" dxfId="402" priority="616">
      <formula>$N199="NA"</formula>
    </cfRule>
    <cfRule type="expression" dxfId="401" priority="617">
      <formula>$N199="NO"</formula>
    </cfRule>
    <cfRule type="expression" dxfId="400" priority="618">
      <formula>$N199="YES"</formula>
    </cfRule>
  </conditionalFormatting>
  <conditionalFormatting sqref="N200:O200">
    <cfRule type="expression" dxfId="399" priority="613">
      <formula>$N200="NA"</formula>
    </cfRule>
    <cfRule type="expression" dxfId="398" priority="614">
      <formula>$N200="NO"</formula>
    </cfRule>
    <cfRule type="expression" dxfId="397" priority="615">
      <formula>$N200="YES"</formula>
    </cfRule>
  </conditionalFormatting>
  <conditionalFormatting sqref="N202:O202">
    <cfRule type="expression" dxfId="396" priority="610">
      <formula>$N202="NA"</formula>
    </cfRule>
    <cfRule type="expression" dxfId="395" priority="611">
      <formula>$N202="NO"</formula>
    </cfRule>
    <cfRule type="expression" dxfId="394" priority="612">
      <formula>$N202="YES"</formula>
    </cfRule>
  </conditionalFormatting>
  <conditionalFormatting sqref="N203:O203">
    <cfRule type="expression" dxfId="393" priority="607">
      <formula>$N203="NA"</formula>
    </cfRule>
    <cfRule type="expression" dxfId="392" priority="608">
      <formula>$N203="NO"</formula>
    </cfRule>
    <cfRule type="expression" dxfId="391" priority="609">
      <formula>$N203="YES"</formula>
    </cfRule>
  </conditionalFormatting>
  <conditionalFormatting sqref="N204:O204">
    <cfRule type="expression" dxfId="390" priority="604">
      <formula>$N204="NA"</formula>
    </cfRule>
    <cfRule type="expression" dxfId="389" priority="605">
      <formula>$N204="NO"</formula>
    </cfRule>
    <cfRule type="expression" dxfId="388" priority="606">
      <formula>$N204="YES"</formula>
    </cfRule>
  </conditionalFormatting>
  <conditionalFormatting sqref="N206:O206">
    <cfRule type="expression" dxfId="387" priority="601">
      <formula>$N206="NA"</formula>
    </cfRule>
    <cfRule type="expression" dxfId="386" priority="602">
      <formula>$N206="NO"</formula>
    </cfRule>
    <cfRule type="expression" dxfId="385" priority="603">
      <formula>$N206="YES"</formula>
    </cfRule>
  </conditionalFormatting>
  <conditionalFormatting sqref="N207:O207">
    <cfRule type="expression" dxfId="384" priority="598">
      <formula>$N207="NA"</formula>
    </cfRule>
    <cfRule type="expression" dxfId="383" priority="599">
      <formula>$N207="NO"</formula>
    </cfRule>
    <cfRule type="expression" dxfId="382" priority="600">
      <formula>$N207="YES"</formula>
    </cfRule>
  </conditionalFormatting>
  <conditionalFormatting sqref="N208:O208">
    <cfRule type="expression" dxfId="381" priority="595">
      <formula>$N208="NA"</formula>
    </cfRule>
    <cfRule type="expression" dxfId="380" priority="596">
      <formula>$N208="NO"</formula>
    </cfRule>
    <cfRule type="expression" dxfId="379" priority="597">
      <formula>$N208="YES"</formula>
    </cfRule>
  </conditionalFormatting>
  <conditionalFormatting sqref="N210:O210">
    <cfRule type="expression" dxfId="378" priority="592">
      <formula>$N210="NA"</formula>
    </cfRule>
    <cfRule type="expression" dxfId="377" priority="593">
      <formula>$N210="NO"</formula>
    </cfRule>
    <cfRule type="expression" dxfId="376" priority="594">
      <formula>$N210="YES"</formula>
    </cfRule>
  </conditionalFormatting>
  <conditionalFormatting sqref="N214:O214">
    <cfRule type="expression" dxfId="375" priority="589">
      <formula>$N214="NA"</formula>
    </cfRule>
    <cfRule type="expression" dxfId="374" priority="590">
      <formula>$N214="NO"</formula>
    </cfRule>
    <cfRule type="expression" dxfId="373" priority="591">
      <formula>$N214="YES"</formula>
    </cfRule>
  </conditionalFormatting>
  <conditionalFormatting sqref="N215:O215">
    <cfRule type="expression" dxfId="372" priority="586">
      <formula>$N215="NA"</formula>
    </cfRule>
    <cfRule type="expression" dxfId="371" priority="587">
      <formula>$N215="NO"</formula>
    </cfRule>
    <cfRule type="expression" dxfId="370" priority="588">
      <formula>$N215="YES"</formula>
    </cfRule>
  </conditionalFormatting>
  <conditionalFormatting sqref="N216:O216">
    <cfRule type="expression" dxfId="369" priority="583">
      <formula>$N216="NA"</formula>
    </cfRule>
    <cfRule type="expression" dxfId="368" priority="584">
      <formula>$N216="NO"</formula>
    </cfRule>
    <cfRule type="expression" dxfId="367" priority="585">
      <formula>$N216="YES"</formula>
    </cfRule>
  </conditionalFormatting>
  <conditionalFormatting sqref="N29:O29">
    <cfRule type="expression" dxfId="366" priority="580">
      <formula>$N29="NA"</formula>
    </cfRule>
    <cfRule type="expression" dxfId="365" priority="581">
      <formula>$N29="NO"</formula>
    </cfRule>
    <cfRule type="expression" dxfId="364" priority="582">
      <formula>$N29="YES"</formula>
    </cfRule>
  </conditionalFormatting>
  <conditionalFormatting sqref="N30:O30">
    <cfRule type="expression" dxfId="363" priority="577">
      <formula>$N30="NA"</formula>
    </cfRule>
    <cfRule type="expression" dxfId="362" priority="578">
      <formula>$N30="NO"</formula>
    </cfRule>
    <cfRule type="expression" dxfId="361" priority="579">
      <formula>$N30="YES"</formula>
    </cfRule>
  </conditionalFormatting>
  <conditionalFormatting sqref="N31:O31">
    <cfRule type="expression" dxfId="360" priority="574">
      <formula>$N31="NA"</formula>
    </cfRule>
    <cfRule type="expression" dxfId="359" priority="575">
      <formula>$N31="NO"</formula>
    </cfRule>
    <cfRule type="expression" dxfId="358" priority="576">
      <formula>$N31="YES"</formula>
    </cfRule>
  </conditionalFormatting>
  <conditionalFormatting sqref="N33:O33">
    <cfRule type="expression" dxfId="357" priority="571">
      <formula>$N33="NA"</formula>
    </cfRule>
    <cfRule type="expression" dxfId="356" priority="572">
      <formula>$N33="NO"</formula>
    </cfRule>
    <cfRule type="expression" dxfId="355" priority="573">
      <formula>$N33="YES"</formula>
    </cfRule>
  </conditionalFormatting>
  <conditionalFormatting sqref="N35:O35">
    <cfRule type="expression" dxfId="354" priority="568">
      <formula>$N35="NA"</formula>
    </cfRule>
    <cfRule type="expression" dxfId="353" priority="569">
      <formula>$N35="NO"</formula>
    </cfRule>
    <cfRule type="expression" dxfId="352" priority="570">
      <formula>$N35="YES"</formula>
    </cfRule>
  </conditionalFormatting>
  <conditionalFormatting sqref="N36:O36">
    <cfRule type="expression" dxfId="351" priority="565">
      <formula>$N36="NA"</formula>
    </cfRule>
    <cfRule type="expression" dxfId="350" priority="566">
      <formula>$N36="NO"</formula>
    </cfRule>
    <cfRule type="expression" dxfId="349" priority="567">
      <formula>$N36="YES"</formula>
    </cfRule>
  </conditionalFormatting>
  <conditionalFormatting sqref="N38:O38">
    <cfRule type="expression" dxfId="348" priority="562">
      <formula>$N38="NA"</formula>
    </cfRule>
    <cfRule type="expression" dxfId="347" priority="563">
      <formula>$N38="NO"</formula>
    </cfRule>
    <cfRule type="expression" dxfId="346" priority="564">
      <formula>$N38="YES"</formula>
    </cfRule>
  </conditionalFormatting>
  <conditionalFormatting sqref="N40:O40">
    <cfRule type="expression" dxfId="345" priority="559">
      <formula>$N40="NA"</formula>
    </cfRule>
    <cfRule type="expression" dxfId="344" priority="560">
      <formula>$N40="NO"</formula>
    </cfRule>
    <cfRule type="expression" dxfId="343" priority="561">
      <formula>$N40="YES"</formula>
    </cfRule>
  </conditionalFormatting>
  <conditionalFormatting sqref="N41:O41">
    <cfRule type="expression" dxfId="342" priority="556">
      <formula>$N41="NA"</formula>
    </cfRule>
    <cfRule type="expression" dxfId="341" priority="557">
      <formula>$N41="NO"</formula>
    </cfRule>
    <cfRule type="expression" dxfId="340" priority="558">
      <formula>$N41="YES"</formula>
    </cfRule>
  </conditionalFormatting>
  <conditionalFormatting sqref="N42:O42">
    <cfRule type="expression" dxfId="339" priority="553">
      <formula>$N42="NA"</formula>
    </cfRule>
    <cfRule type="expression" dxfId="338" priority="554">
      <formula>$N42="NO"</formula>
    </cfRule>
    <cfRule type="expression" dxfId="337" priority="555">
      <formula>$N42="YES"</formula>
    </cfRule>
  </conditionalFormatting>
  <conditionalFormatting sqref="N44:O44">
    <cfRule type="expression" dxfId="336" priority="550">
      <formula>$N44="NA"</formula>
    </cfRule>
    <cfRule type="expression" dxfId="335" priority="551">
      <formula>$N44="NO"</formula>
    </cfRule>
    <cfRule type="expression" dxfId="334" priority="552">
      <formula>$N44="YES"</formula>
    </cfRule>
  </conditionalFormatting>
  <conditionalFormatting sqref="N45:O45">
    <cfRule type="expression" dxfId="333" priority="547">
      <formula>$N45="NA"</formula>
    </cfRule>
    <cfRule type="expression" dxfId="332" priority="548">
      <formula>$N45="NO"</formula>
    </cfRule>
    <cfRule type="expression" dxfId="331" priority="549">
      <formula>$N45="YES"</formula>
    </cfRule>
  </conditionalFormatting>
  <conditionalFormatting sqref="N46:O46">
    <cfRule type="expression" dxfId="330" priority="544">
      <formula>$N46="NA"</formula>
    </cfRule>
    <cfRule type="expression" dxfId="329" priority="545">
      <formula>$N46="NO"</formula>
    </cfRule>
    <cfRule type="expression" dxfId="328" priority="546">
      <formula>$N46="YES"</formula>
    </cfRule>
  </conditionalFormatting>
  <conditionalFormatting sqref="N48:O48">
    <cfRule type="expression" dxfId="327" priority="541">
      <formula>$N48="NA"</formula>
    </cfRule>
    <cfRule type="expression" dxfId="326" priority="542">
      <formula>$N48="NO"</formula>
    </cfRule>
    <cfRule type="expression" dxfId="325" priority="543">
      <formula>$N48="YES"</formula>
    </cfRule>
  </conditionalFormatting>
  <conditionalFormatting sqref="N49:O49">
    <cfRule type="expression" dxfId="324" priority="538">
      <formula>$N49="NA"</formula>
    </cfRule>
    <cfRule type="expression" dxfId="323" priority="539">
      <formula>$N49="NO"</formula>
    </cfRule>
    <cfRule type="expression" dxfId="322" priority="540">
      <formula>$N49="YES"</formula>
    </cfRule>
  </conditionalFormatting>
  <conditionalFormatting sqref="N50:O50">
    <cfRule type="expression" dxfId="321" priority="535">
      <formula>$N50="NA"</formula>
    </cfRule>
    <cfRule type="expression" dxfId="320" priority="536">
      <formula>$N50="NO"</formula>
    </cfRule>
    <cfRule type="expression" dxfId="319" priority="537">
      <formula>$N50="YES"</formula>
    </cfRule>
  </conditionalFormatting>
  <conditionalFormatting sqref="N51:O51">
    <cfRule type="expression" dxfId="318" priority="532">
      <formula>$N51="NA"</formula>
    </cfRule>
    <cfRule type="expression" dxfId="317" priority="533">
      <formula>$N51="NO"</formula>
    </cfRule>
    <cfRule type="expression" dxfId="316" priority="534">
      <formula>$N51="YES"</formula>
    </cfRule>
  </conditionalFormatting>
  <conditionalFormatting sqref="N85:O85">
    <cfRule type="expression" dxfId="315" priority="528">
      <formula>$N85="SUBMITTED WITH OPEN DEFECTS"</formula>
    </cfRule>
    <cfRule type="expression" dxfId="314" priority="529">
      <formula>$N85="NA"</formula>
    </cfRule>
    <cfRule type="expression" dxfId="313" priority="530">
      <formula>$N85="NO"</formula>
    </cfRule>
    <cfRule type="expression" dxfId="312" priority="531">
      <formula>$N85="YES"</formula>
    </cfRule>
  </conditionalFormatting>
  <conditionalFormatting sqref="N86:O86">
    <cfRule type="expression" dxfId="311" priority="524">
      <formula>$N86="SUBMITTED WITH OPEN DEFECTS"</formula>
    </cfRule>
    <cfRule type="expression" dxfId="310" priority="525">
      <formula>$N86="NA"</formula>
    </cfRule>
    <cfRule type="expression" dxfId="309" priority="526">
      <formula>$N86="NO"</formula>
    </cfRule>
    <cfRule type="expression" dxfId="308" priority="527">
      <formula>$N86="YES"</formula>
    </cfRule>
  </conditionalFormatting>
  <conditionalFormatting sqref="N87:O87">
    <cfRule type="expression" dxfId="307" priority="520">
      <formula>$N87="SUBMITTED WITH OPEN DEFECTS"</formula>
    </cfRule>
    <cfRule type="expression" dxfId="306" priority="521">
      <formula>$N87="NA"</formula>
    </cfRule>
    <cfRule type="expression" dxfId="305" priority="522">
      <formula>$N87="NO"</formula>
    </cfRule>
    <cfRule type="expression" dxfId="304" priority="523">
      <formula>$N87="YES"</formula>
    </cfRule>
  </conditionalFormatting>
  <conditionalFormatting sqref="N88:O88">
    <cfRule type="expression" dxfId="303" priority="516">
      <formula>$N88="SUBMITTED WITH OPEN DEFECTS"</formula>
    </cfRule>
    <cfRule type="expression" dxfId="302" priority="517">
      <formula>$N88="NA"</formula>
    </cfRule>
    <cfRule type="expression" dxfId="301" priority="518">
      <formula>$N88="NO"</formula>
    </cfRule>
    <cfRule type="expression" dxfId="300" priority="519">
      <formula>$N88="YES"</formula>
    </cfRule>
  </conditionalFormatting>
  <conditionalFormatting sqref="N89:O89">
    <cfRule type="expression" dxfId="299" priority="512">
      <formula>$N89="SUBMITTED WITH OPEN DEFECTS"</formula>
    </cfRule>
    <cfRule type="expression" dxfId="298" priority="513">
      <formula>$N89="NA"</formula>
    </cfRule>
    <cfRule type="expression" dxfId="297" priority="514">
      <formula>$N89="NO"</formula>
    </cfRule>
    <cfRule type="expression" dxfId="296" priority="515">
      <formula>$N89="YES"</formula>
    </cfRule>
  </conditionalFormatting>
  <conditionalFormatting sqref="N90:O90">
    <cfRule type="expression" dxfId="295" priority="508">
      <formula>$N90="SUBMITTED WITH OPEN DEFECTS"</formula>
    </cfRule>
    <cfRule type="expression" dxfId="294" priority="509">
      <formula>$N90="NA"</formula>
    </cfRule>
    <cfRule type="expression" dxfId="293" priority="510">
      <formula>$N90="NO"</formula>
    </cfRule>
    <cfRule type="expression" dxfId="292" priority="511">
      <formula>$N90="YES"</formula>
    </cfRule>
  </conditionalFormatting>
  <conditionalFormatting sqref="N91:O91">
    <cfRule type="expression" dxfId="291" priority="504">
      <formula>$N91="SUBMITTED WITH OPEN DEFECTS"</formula>
    </cfRule>
    <cfRule type="expression" dxfId="290" priority="505">
      <formula>$N91="NA"</formula>
    </cfRule>
    <cfRule type="expression" dxfId="289" priority="506">
      <formula>$N91="NO"</formula>
    </cfRule>
    <cfRule type="expression" dxfId="288" priority="507">
      <formula>$N91="YES"</formula>
    </cfRule>
  </conditionalFormatting>
  <conditionalFormatting sqref="N93:O93">
    <cfRule type="expression" dxfId="287" priority="500">
      <formula>$N93="SUBMITTED WITH OPEN DEFECTS"</formula>
    </cfRule>
    <cfRule type="expression" dxfId="286" priority="501">
      <formula>$N93="NA"</formula>
    </cfRule>
    <cfRule type="expression" dxfId="285" priority="502">
      <formula>$N93="NO"</formula>
    </cfRule>
    <cfRule type="expression" dxfId="284" priority="503">
      <formula>$N93="YES"</formula>
    </cfRule>
  </conditionalFormatting>
  <conditionalFormatting sqref="S58">
    <cfRule type="expression" dxfId="283" priority="357">
      <formula>$S58="NA"</formula>
    </cfRule>
    <cfRule type="expression" dxfId="282" priority="358">
      <formula>$S58="NO"</formula>
    </cfRule>
    <cfRule type="expression" dxfId="281" priority="359">
      <formula>$S58="YES"</formula>
    </cfRule>
  </conditionalFormatting>
  <conditionalFormatting sqref="S61">
    <cfRule type="expression" dxfId="280" priority="353">
      <formula>$S61="NA"</formula>
    </cfRule>
    <cfRule type="expression" dxfId="279" priority="354">
      <formula>$S61="NO"</formula>
    </cfRule>
    <cfRule type="expression" dxfId="278" priority="355">
      <formula>$S61="YES"</formula>
    </cfRule>
  </conditionalFormatting>
  <conditionalFormatting sqref="S64">
    <cfRule type="expression" dxfId="277" priority="350">
      <formula>$S64="NA"</formula>
    </cfRule>
    <cfRule type="expression" dxfId="276" priority="351">
      <formula>$S64="NO"</formula>
    </cfRule>
    <cfRule type="expression" dxfId="275" priority="352">
      <formula>$S64="YES"</formula>
    </cfRule>
  </conditionalFormatting>
  <conditionalFormatting sqref="S66">
    <cfRule type="expression" dxfId="274" priority="347">
      <formula>$S66="NA"</formula>
    </cfRule>
    <cfRule type="expression" dxfId="273" priority="348">
      <formula>$S66="NO"</formula>
    </cfRule>
    <cfRule type="expression" dxfId="272" priority="349">
      <formula>$S66="YES"</formula>
    </cfRule>
  </conditionalFormatting>
  <conditionalFormatting sqref="S68">
    <cfRule type="expression" dxfId="271" priority="344">
      <formula>$S68="NA"</formula>
    </cfRule>
    <cfRule type="expression" dxfId="270" priority="345">
      <formula>$S68="NO"</formula>
    </cfRule>
    <cfRule type="expression" dxfId="269" priority="346">
      <formula>$S68="YES"</formula>
    </cfRule>
  </conditionalFormatting>
  <conditionalFormatting sqref="S70">
    <cfRule type="expression" dxfId="268" priority="341">
      <formula>$S70="NA"</formula>
    </cfRule>
    <cfRule type="expression" dxfId="267" priority="342">
      <formula>$S70="NO"</formula>
    </cfRule>
    <cfRule type="expression" dxfId="266" priority="343">
      <formula>$S70="YES"</formula>
    </cfRule>
  </conditionalFormatting>
  <conditionalFormatting sqref="S74">
    <cfRule type="expression" dxfId="265" priority="338">
      <formula>$S74="NA"</formula>
    </cfRule>
    <cfRule type="expression" dxfId="264" priority="339">
      <formula>$S74="NO"</formula>
    </cfRule>
    <cfRule type="expression" dxfId="263" priority="340">
      <formula>$S74="YES"</formula>
    </cfRule>
  </conditionalFormatting>
  <conditionalFormatting sqref="S76">
    <cfRule type="expression" dxfId="262" priority="335">
      <formula>$S76="NA"</formula>
    </cfRule>
    <cfRule type="expression" dxfId="261" priority="336">
      <formula>$S76="NO"</formula>
    </cfRule>
    <cfRule type="expression" dxfId="260" priority="337">
      <formula>$S76="YES"</formula>
    </cfRule>
  </conditionalFormatting>
  <conditionalFormatting sqref="S84">
    <cfRule type="expression" dxfId="259" priority="235">
      <formula>$S84="SUBMITTED WITH OPEN DEFECTS"</formula>
    </cfRule>
    <cfRule type="expression" dxfId="258" priority="332">
      <formula>$S84="NA"</formula>
    </cfRule>
    <cfRule type="expression" dxfId="257" priority="333">
      <formula>$S84="NO"</formula>
    </cfRule>
    <cfRule type="expression" dxfId="256" priority="334">
      <formula>$S84="YES"</formula>
    </cfRule>
  </conditionalFormatting>
  <conditionalFormatting sqref="S143">
    <cfRule type="expression" dxfId="255" priority="296">
      <formula>$S143="NA"</formula>
    </cfRule>
    <cfRule type="expression" dxfId="254" priority="297">
      <formula>$S143="NO"</formula>
    </cfRule>
    <cfRule type="expression" dxfId="253" priority="298">
      <formula>$S143="YES"</formula>
    </cfRule>
  </conditionalFormatting>
  <conditionalFormatting sqref="S145">
    <cfRule type="expression" dxfId="252" priority="293">
      <formula>$S145="NA"</formula>
    </cfRule>
    <cfRule type="expression" dxfId="251" priority="294">
      <formula>$S145="NO"</formula>
    </cfRule>
    <cfRule type="expression" dxfId="250" priority="295">
      <formula>$S145="YES"</formula>
    </cfRule>
  </conditionalFormatting>
  <conditionalFormatting sqref="S149">
    <cfRule type="expression" dxfId="249" priority="290">
      <formula>$S149="NA"</formula>
    </cfRule>
    <cfRule type="expression" dxfId="248" priority="291">
      <formula>$S149="NO"</formula>
    </cfRule>
    <cfRule type="expression" dxfId="247" priority="292">
      <formula>$S149="YES"</formula>
    </cfRule>
  </conditionalFormatting>
  <conditionalFormatting sqref="S154">
    <cfRule type="expression" dxfId="246" priority="287">
      <formula>$S154="NA"</formula>
    </cfRule>
    <cfRule type="expression" dxfId="245" priority="288">
      <formula>$S154="NO"</formula>
    </cfRule>
    <cfRule type="expression" dxfId="244" priority="289">
      <formula>$S154="YES"</formula>
    </cfRule>
  </conditionalFormatting>
  <conditionalFormatting sqref="S166">
    <cfRule type="expression" dxfId="243" priority="284">
      <formula>$S166="NA"</formula>
    </cfRule>
    <cfRule type="expression" dxfId="242" priority="285">
      <formula>$S166="NO"</formula>
    </cfRule>
    <cfRule type="expression" dxfId="241" priority="286">
      <formula>$S166="YES"</formula>
    </cfRule>
  </conditionalFormatting>
  <conditionalFormatting sqref="S170">
    <cfRule type="expression" dxfId="240" priority="281">
      <formula>$S170="NA"</formula>
    </cfRule>
    <cfRule type="expression" dxfId="239" priority="282">
      <formula>$S170="NO"</formula>
    </cfRule>
    <cfRule type="expression" dxfId="238" priority="283">
      <formula>$S170="YES"</formula>
    </cfRule>
  </conditionalFormatting>
  <conditionalFormatting sqref="S172">
    <cfRule type="expression" dxfId="237" priority="278">
      <formula>$S172="NA"</formula>
    </cfRule>
    <cfRule type="expression" dxfId="236" priority="279">
      <formula>$S172="NO"</formula>
    </cfRule>
    <cfRule type="expression" dxfId="235" priority="280">
      <formula>$S172="YES"</formula>
    </cfRule>
  </conditionalFormatting>
  <conditionalFormatting sqref="S181">
    <cfRule type="expression" dxfId="234" priority="275">
      <formula>$S181="NA"</formula>
    </cfRule>
    <cfRule type="expression" dxfId="233" priority="276">
      <formula>$S181="NO"</formula>
    </cfRule>
    <cfRule type="expression" dxfId="232" priority="277">
      <formula>$S181="YES"</formula>
    </cfRule>
  </conditionalFormatting>
  <conditionalFormatting sqref="S191">
    <cfRule type="expression" dxfId="231" priority="272">
      <formula>$S191="NA"</formula>
    </cfRule>
    <cfRule type="expression" dxfId="230" priority="273">
      <formula>$S191="NO"</formula>
    </cfRule>
    <cfRule type="expression" dxfId="229" priority="274">
      <formula>$S191="YES"</formula>
    </cfRule>
  </conditionalFormatting>
  <conditionalFormatting sqref="S194">
    <cfRule type="expression" dxfId="228" priority="269">
      <formula>$S194="NA"</formula>
    </cfRule>
    <cfRule type="expression" dxfId="227" priority="270">
      <formula>$S194="NO"</formula>
    </cfRule>
    <cfRule type="expression" dxfId="226" priority="271">
      <formula>$S194="YES"</formula>
    </cfRule>
  </conditionalFormatting>
  <conditionalFormatting sqref="S201">
    <cfRule type="expression" dxfId="225" priority="266">
      <formula>$S201="NA"</formula>
    </cfRule>
    <cfRule type="expression" dxfId="224" priority="267">
      <formula>$S201="NO"</formula>
    </cfRule>
    <cfRule type="expression" dxfId="223" priority="268">
      <formula>$S201="YES"</formula>
    </cfRule>
  </conditionalFormatting>
  <conditionalFormatting sqref="S205">
    <cfRule type="expression" dxfId="222" priority="263">
      <formula>$S205="NA"</formula>
    </cfRule>
    <cfRule type="expression" dxfId="221" priority="264">
      <formula>$S205="NO"</formula>
    </cfRule>
    <cfRule type="expression" dxfId="220" priority="265">
      <formula>$S205="YES"</formula>
    </cfRule>
  </conditionalFormatting>
  <conditionalFormatting sqref="S209">
    <cfRule type="expression" dxfId="219" priority="260">
      <formula>$S209="NA"</formula>
    </cfRule>
    <cfRule type="expression" dxfId="218" priority="261">
      <formula>$S209="NO"</formula>
    </cfRule>
    <cfRule type="expression" dxfId="217" priority="262">
      <formula>$S209="YES"</formula>
    </cfRule>
  </conditionalFormatting>
  <conditionalFormatting sqref="S213">
    <cfRule type="expression" dxfId="216" priority="257">
      <formula>$S213="NA"</formula>
    </cfRule>
    <cfRule type="expression" dxfId="215" priority="258">
      <formula>$S213="NO"</formula>
    </cfRule>
    <cfRule type="expression" dxfId="214" priority="259">
      <formula>$S213="YES"</formula>
    </cfRule>
  </conditionalFormatting>
  <conditionalFormatting sqref="S47">
    <cfRule type="expression" dxfId="213" priority="254">
      <formula>$S47="NA"</formula>
    </cfRule>
    <cfRule type="expression" dxfId="212" priority="255">
      <formula>$S47="NO"</formula>
    </cfRule>
    <cfRule type="expression" dxfId="211" priority="256">
      <formula>$S47="YES"</formula>
    </cfRule>
  </conditionalFormatting>
  <conditionalFormatting sqref="S43">
    <cfRule type="expression" dxfId="210" priority="251">
      <formula>$S43="NA"</formula>
    </cfRule>
    <cfRule type="expression" dxfId="209" priority="252">
      <formula>$S43="NO"</formula>
    </cfRule>
    <cfRule type="expression" dxfId="208" priority="253">
      <formula>$S43="YES"</formula>
    </cfRule>
  </conditionalFormatting>
  <conditionalFormatting sqref="S39">
    <cfRule type="expression" dxfId="207" priority="248">
      <formula>$S39="NA"</formula>
    </cfRule>
    <cfRule type="expression" dxfId="206" priority="249">
      <formula>$S39="NO"</formula>
    </cfRule>
    <cfRule type="expression" dxfId="205" priority="250">
      <formula>$S39="YES"</formula>
    </cfRule>
  </conditionalFormatting>
  <conditionalFormatting sqref="S37">
    <cfRule type="expression" dxfId="204" priority="245">
      <formula>$S37="NA"</formula>
    </cfRule>
    <cfRule type="expression" dxfId="203" priority="246">
      <formula>$S37="NO"</formula>
    </cfRule>
    <cfRule type="expression" dxfId="202" priority="247">
      <formula>$S37="YES"</formula>
    </cfRule>
  </conditionalFormatting>
  <conditionalFormatting sqref="S34">
    <cfRule type="expression" dxfId="201" priority="242">
      <formula>$S34="NA"</formula>
    </cfRule>
    <cfRule type="expression" dxfId="200" priority="243">
      <formula>$S34="NO"</formula>
    </cfRule>
    <cfRule type="expression" dxfId="199" priority="244">
      <formula>$S34="YES"</formula>
    </cfRule>
  </conditionalFormatting>
  <conditionalFormatting sqref="S32">
    <cfRule type="expression" dxfId="198" priority="239">
      <formula>$S32="NA"</formula>
    </cfRule>
    <cfRule type="expression" dxfId="197" priority="240">
      <formula>$S32="NO"</formula>
    </cfRule>
    <cfRule type="expression" dxfId="196" priority="241">
      <formula>$S32="YES"</formula>
    </cfRule>
  </conditionalFormatting>
  <conditionalFormatting sqref="S28">
    <cfRule type="expression" dxfId="195" priority="236">
      <formula>$S28="NA"</formula>
    </cfRule>
    <cfRule type="expression" dxfId="194" priority="237">
      <formula>$S28="NO"</formula>
    </cfRule>
    <cfRule type="expression" dxfId="193" priority="238">
      <formula>$S28="YES"</formula>
    </cfRule>
  </conditionalFormatting>
  <conditionalFormatting sqref="J82:K82">
    <cfRule type="expression" dxfId="192" priority="193">
      <formula>$J82="No Defects"</formula>
    </cfRule>
    <cfRule type="expression" dxfId="191" priority="194">
      <formula>$J82="Defects Raised"</formula>
    </cfRule>
  </conditionalFormatting>
  <conditionalFormatting sqref="J56:K56">
    <cfRule type="expression" dxfId="190" priority="190">
      <formula>$J56="No Defects"</formula>
    </cfRule>
    <cfRule type="expression" dxfId="189" priority="191">
      <formula>$J56="Defects Raised"</formula>
    </cfRule>
  </conditionalFormatting>
  <conditionalFormatting sqref="J142:K142">
    <cfRule type="expression" dxfId="188" priority="187">
      <formula>$J142="SUBMITTED WITH OPEN DEFECTS"</formula>
    </cfRule>
    <cfRule type="expression" dxfId="187" priority="188">
      <formula>$J142="No Defects"</formula>
    </cfRule>
    <cfRule type="expression" dxfId="186" priority="189">
      <formula>$J142="Defects Raised"</formula>
    </cfRule>
  </conditionalFormatting>
  <conditionalFormatting sqref="J180:K180">
    <cfRule type="expression" dxfId="185" priority="185">
      <formula>$J180="No Defects"</formula>
    </cfRule>
    <cfRule type="expression" dxfId="184" priority="186">
      <formula>$J180="Defects Raised"</formula>
    </cfRule>
  </conditionalFormatting>
  <conditionalFormatting sqref="J190:K190">
    <cfRule type="expression" dxfId="183" priority="183">
      <formula>$J190="No Defects"</formula>
    </cfRule>
    <cfRule type="expression" dxfId="182" priority="184">
      <formula>$J190="Defects Raised"</formula>
    </cfRule>
  </conditionalFormatting>
  <conditionalFormatting sqref="J221:K221">
    <cfRule type="expression" dxfId="181" priority="181">
      <formula>$J221="No Defects"</formula>
    </cfRule>
    <cfRule type="expression" dxfId="180" priority="182">
      <formula>$J221="Defects Raised"</formula>
    </cfRule>
  </conditionalFormatting>
  <conditionalFormatting sqref="N94:O94">
    <cfRule type="expression" dxfId="179" priority="177">
      <formula>$N94="SUBMITTED WITH OPEN DEFECTS"</formula>
    </cfRule>
    <cfRule type="expression" dxfId="178" priority="178">
      <formula>$N94="NA"</formula>
    </cfRule>
    <cfRule type="expression" dxfId="177" priority="179">
      <formula>$N94="NO"</formula>
    </cfRule>
    <cfRule type="expression" dxfId="176" priority="180">
      <formula>$N94="YES"</formula>
    </cfRule>
  </conditionalFormatting>
  <conditionalFormatting sqref="N95:O95">
    <cfRule type="expression" dxfId="175" priority="173">
      <formula>$N95="SUBMITTED WITH OPEN DEFECTS"</formula>
    </cfRule>
    <cfRule type="expression" dxfId="174" priority="174">
      <formula>$N95="NA"</formula>
    </cfRule>
    <cfRule type="expression" dxfId="173" priority="175">
      <formula>$N95="NO"</formula>
    </cfRule>
    <cfRule type="expression" dxfId="172" priority="176">
      <formula>$N95="YES"</formula>
    </cfRule>
  </conditionalFormatting>
  <conditionalFormatting sqref="N97:O97">
    <cfRule type="expression" dxfId="171" priority="169">
      <formula>$N97="SUBMITTED WITH OPEN DEFECTS"</formula>
    </cfRule>
    <cfRule type="expression" dxfId="170" priority="170">
      <formula>$N97="NA"</formula>
    </cfRule>
    <cfRule type="expression" dxfId="169" priority="171">
      <formula>$N97="NO"</formula>
    </cfRule>
    <cfRule type="expression" dxfId="168" priority="172">
      <formula>$N97="YES"</formula>
    </cfRule>
  </conditionalFormatting>
  <conditionalFormatting sqref="N98:O98">
    <cfRule type="expression" dxfId="167" priority="165">
      <formula>$N98="SUBMITTED WITH OPEN DEFECTS"</formula>
    </cfRule>
    <cfRule type="expression" dxfId="166" priority="166">
      <formula>$N98="NA"</formula>
    </cfRule>
    <cfRule type="expression" dxfId="165" priority="167">
      <formula>$N98="NO"</formula>
    </cfRule>
    <cfRule type="expression" dxfId="164" priority="168">
      <formula>$N98="YES"</formula>
    </cfRule>
  </conditionalFormatting>
  <conditionalFormatting sqref="N99:O99">
    <cfRule type="expression" dxfId="163" priority="161">
      <formula>$N99="SUBMITTED WITH OPEN DEFECTS"</formula>
    </cfRule>
    <cfRule type="expression" dxfId="162" priority="162">
      <formula>$N99="NA"</formula>
    </cfRule>
    <cfRule type="expression" dxfId="161" priority="163">
      <formula>$N99="NO"</formula>
    </cfRule>
    <cfRule type="expression" dxfId="160" priority="164">
      <formula>$N99="YES"</formula>
    </cfRule>
  </conditionalFormatting>
  <conditionalFormatting sqref="N100:O100">
    <cfRule type="expression" dxfId="159" priority="157">
      <formula>$N100="SUBMITTED WITH OPEN DEFECTS"</formula>
    </cfRule>
    <cfRule type="expression" dxfId="158" priority="158">
      <formula>$N100="NA"</formula>
    </cfRule>
    <cfRule type="expression" dxfId="157" priority="159">
      <formula>$N100="NO"</formula>
    </cfRule>
    <cfRule type="expression" dxfId="156" priority="160">
      <formula>$N100="YES"</formula>
    </cfRule>
  </conditionalFormatting>
  <conditionalFormatting sqref="N101:O101">
    <cfRule type="expression" dxfId="155" priority="153">
      <formula>$N101="SUBMITTED WITH OPEN DEFECTS"</formula>
    </cfRule>
    <cfRule type="expression" dxfId="154" priority="154">
      <formula>$N101="NA"</formula>
    </cfRule>
    <cfRule type="expression" dxfId="153" priority="155">
      <formula>$N101="NO"</formula>
    </cfRule>
    <cfRule type="expression" dxfId="152" priority="156">
      <formula>$N101="YES"</formula>
    </cfRule>
  </conditionalFormatting>
  <conditionalFormatting sqref="N102:O102">
    <cfRule type="expression" dxfId="151" priority="149">
      <formula>$N102="SUBMITTED WITH OPEN DEFECTS"</formula>
    </cfRule>
    <cfRule type="expression" dxfId="150" priority="150">
      <formula>$N102="NA"</formula>
    </cfRule>
    <cfRule type="expression" dxfId="149" priority="151">
      <formula>$N102="NO"</formula>
    </cfRule>
    <cfRule type="expression" dxfId="148" priority="152">
      <formula>$N102="YES"</formula>
    </cfRule>
  </conditionalFormatting>
  <conditionalFormatting sqref="N104:O104">
    <cfRule type="expression" dxfId="147" priority="145">
      <formula>$N104="SUBMITTED WITH OPEN DEFECTS"</formula>
    </cfRule>
    <cfRule type="expression" dxfId="146" priority="146">
      <formula>$N104="NA"</formula>
    </cfRule>
    <cfRule type="expression" dxfId="145" priority="147">
      <formula>$N104="NO"</formula>
    </cfRule>
    <cfRule type="expression" dxfId="144" priority="148">
      <formula>$N104="YES"</formula>
    </cfRule>
  </conditionalFormatting>
  <conditionalFormatting sqref="N105:O105">
    <cfRule type="expression" dxfId="143" priority="141">
      <formula>$N105="SUBMITTED WITH OPEN DEFECTS"</formula>
    </cfRule>
    <cfRule type="expression" dxfId="142" priority="142">
      <formula>$N105="NA"</formula>
    </cfRule>
    <cfRule type="expression" dxfId="141" priority="143">
      <formula>$N105="NO"</formula>
    </cfRule>
    <cfRule type="expression" dxfId="140" priority="144">
      <formula>$N105="YES"</formula>
    </cfRule>
  </conditionalFormatting>
  <conditionalFormatting sqref="N106:O106">
    <cfRule type="expression" dxfId="139" priority="137">
      <formula>$N106="SUBMITTED WITH OPEN DEFECTS"</formula>
    </cfRule>
    <cfRule type="expression" dxfId="138" priority="138">
      <formula>$N106="NA"</formula>
    </cfRule>
    <cfRule type="expression" dxfId="137" priority="139">
      <formula>$N106="NO"</formula>
    </cfRule>
    <cfRule type="expression" dxfId="136" priority="140">
      <formula>$N106="YES"</formula>
    </cfRule>
  </conditionalFormatting>
  <conditionalFormatting sqref="N107:O107">
    <cfRule type="expression" dxfId="135" priority="133">
      <formula>$N107="SUBMITTED WITH OPEN DEFECTS"</formula>
    </cfRule>
    <cfRule type="expression" dxfId="134" priority="134">
      <formula>$N107="NA"</formula>
    </cfRule>
    <cfRule type="expression" dxfId="133" priority="135">
      <formula>$N107="NO"</formula>
    </cfRule>
    <cfRule type="expression" dxfId="132" priority="136">
      <formula>$N107="YES"</formula>
    </cfRule>
  </conditionalFormatting>
  <conditionalFormatting sqref="N108:O108">
    <cfRule type="expression" dxfId="131" priority="129">
      <formula>$N108="SUBMITTED WITH OPEN DEFECTS"</formula>
    </cfRule>
    <cfRule type="expression" dxfId="130" priority="130">
      <formula>$N108="NA"</formula>
    </cfRule>
    <cfRule type="expression" dxfId="129" priority="131">
      <formula>$N108="NO"</formula>
    </cfRule>
    <cfRule type="expression" dxfId="128" priority="132">
      <formula>$N108="YES"</formula>
    </cfRule>
  </conditionalFormatting>
  <conditionalFormatting sqref="N109:O109">
    <cfRule type="expression" dxfId="127" priority="125">
      <formula>$N109="SUBMITTED WITH OPEN DEFECTS"</formula>
    </cfRule>
    <cfRule type="expression" dxfId="126" priority="126">
      <formula>$N109="NA"</formula>
    </cfRule>
    <cfRule type="expression" dxfId="125" priority="127">
      <formula>$N109="NO"</formula>
    </cfRule>
    <cfRule type="expression" dxfId="124" priority="128">
      <formula>$N109="YES"</formula>
    </cfRule>
  </conditionalFormatting>
  <conditionalFormatting sqref="N110:O110">
    <cfRule type="expression" dxfId="123" priority="121">
      <formula>$N110="SUBMITTED WITH OPEN DEFECTS"</formula>
    </cfRule>
    <cfRule type="expression" dxfId="122" priority="122">
      <formula>$N110="NA"</formula>
    </cfRule>
    <cfRule type="expression" dxfId="121" priority="123">
      <formula>$N110="NO"</formula>
    </cfRule>
    <cfRule type="expression" dxfId="120" priority="124">
      <formula>$N110="YES"</formula>
    </cfRule>
  </conditionalFormatting>
  <conditionalFormatting sqref="N112:O112">
    <cfRule type="expression" dxfId="119" priority="117">
      <formula>$N112="SUBMITTED WITH OPEN DEFECTS"</formula>
    </cfRule>
    <cfRule type="expression" dxfId="118" priority="118">
      <formula>$N112="NA"</formula>
    </cfRule>
    <cfRule type="expression" dxfId="117" priority="119">
      <formula>$N112="NO"</formula>
    </cfRule>
    <cfRule type="expression" dxfId="116" priority="120">
      <formula>$N112="YES"</formula>
    </cfRule>
  </conditionalFormatting>
  <conditionalFormatting sqref="N113:O113">
    <cfRule type="expression" dxfId="115" priority="113">
      <formula>$N113="SUBMITTED WITH OPEN DEFECTS"</formula>
    </cfRule>
    <cfRule type="expression" dxfId="114" priority="114">
      <formula>$N113="NA"</formula>
    </cfRule>
    <cfRule type="expression" dxfId="113" priority="115">
      <formula>$N113="NO"</formula>
    </cfRule>
    <cfRule type="expression" dxfId="112" priority="116">
      <formula>$N113="YES"</formula>
    </cfRule>
  </conditionalFormatting>
  <conditionalFormatting sqref="N114:O114">
    <cfRule type="expression" dxfId="111" priority="109">
      <formula>$N114="SUBMITTED WITH OPEN DEFECTS"</formula>
    </cfRule>
    <cfRule type="expression" dxfId="110" priority="110">
      <formula>$N114="NA"</formula>
    </cfRule>
    <cfRule type="expression" dxfId="109" priority="111">
      <formula>$N114="NO"</formula>
    </cfRule>
    <cfRule type="expression" dxfId="108" priority="112">
      <formula>$N114="YES"</formula>
    </cfRule>
  </conditionalFormatting>
  <conditionalFormatting sqref="N115:O115">
    <cfRule type="expression" dxfId="107" priority="105">
      <formula>$N115="SUBMITTED WITH OPEN DEFECTS"</formula>
    </cfRule>
    <cfRule type="expression" dxfId="106" priority="106">
      <formula>$N115="NA"</formula>
    </cfRule>
    <cfRule type="expression" dxfId="105" priority="107">
      <formula>$N115="NO"</formula>
    </cfRule>
    <cfRule type="expression" dxfId="104" priority="108">
      <formula>$N115="YES"</formula>
    </cfRule>
  </conditionalFormatting>
  <conditionalFormatting sqref="N117:O117">
    <cfRule type="expression" dxfId="103" priority="101">
      <formula>$N117="SUBMITTED WITH OPEN DEFECTS"</formula>
    </cfRule>
    <cfRule type="expression" dxfId="102" priority="102">
      <formula>$N117="NA"</formula>
    </cfRule>
    <cfRule type="expression" dxfId="101" priority="103">
      <formula>$N117="NO"</formula>
    </cfRule>
    <cfRule type="expression" dxfId="100" priority="104">
      <formula>$N117="YES"</formula>
    </cfRule>
  </conditionalFormatting>
  <conditionalFormatting sqref="N118:O118">
    <cfRule type="expression" dxfId="99" priority="97">
      <formula>$N118="SUBMITTED WITH OPEN DEFECTS"</formula>
    </cfRule>
    <cfRule type="expression" dxfId="98" priority="98">
      <formula>$N118="NA"</formula>
    </cfRule>
    <cfRule type="expression" dxfId="97" priority="99">
      <formula>$N118="NO"</formula>
    </cfRule>
    <cfRule type="expression" dxfId="96" priority="100">
      <formula>$N118="YES"</formula>
    </cfRule>
  </conditionalFormatting>
  <conditionalFormatting sqref="N119:O119">
    <cfRule type="expression" dxfId="95" priority="93">
      <formula>$N119="SUBMITTED WITH OPEN DEFECTS"</formula>
    </cfRule>
    <cfRule type="expression" dxfId="94" priority="94">
      <formula>$N119="NA"</formula>
    </cfRule>
    <cfRule type="expression" dxfId="93" priority="95">
      <formula>$N119="NO"</formula>
    </cfRule>
    <cfRule type="expression" dxfId="92" priority="96">
      <formula>$N119="YES"</formula>
    </cfRule>
  </conditionalFormatting>
  <conditionalFormatting sqref="N120:O120">
    <cfRule type="expression" dxfId="91" priority="89">
      <formula>$N120="SUBMITTED WITH OPEN DEFECTS"</formula>
    </cfRule>
    <cfRule type="expression" dxfId="90" priority="90">
      <formula>$N120="NA"</formula>
    </cfRule>
    <cfRule type="expression" dxfId="89" priority="91">
      <formula>$N120="NO"</formula>
    </cfRule>
    <cfRule type="expression" dxfId="88" priority="92">
      <formula>$N120="YES"</formula>
    </cfRule>
  </conditionalFormatting>
  <conditionalFormatting sqref="N122:O122">
    <cfRule type="expression" dxfId="87" priority="85">
      <formula>$N122="SUBMITTED WITH OPEN DEFECTS"</formula>
    </cfRule>
    <cfRule type="expression" dxfId="86" priority="86">
      <formula>$N122="NA"</formula>
    </cfRule>
    <cfRule type="expression" dxfId="85" priority="87">
      <formula>$N122="NO"</formula>
    </cfRule>
    <cfRule type="expression" dxfId="84" priority="88">
      <formula>$N122="YES"</formula>
    </cfRule>
  </conditionalFormatting>
  <conditionalFormatting sqref="N123:O123">
    <cfRule type="expression" dxfId="83" priority="81">
      <formula>$N123="SUBMITTED WITH OPEN DEFECTS"</formula>
    </cfRule>
    <cfRule type="expression" dxfId="82" priority="82">
      <formula>$N123="NA"</formula>
    </cfRule>
    <cfRule type="expression" dxfId="81" priority="83">
      <formula>$N123="NO"</formula>
    </cfRule>
    <cfRule type="expression" dxfId="80" priority="84">
      <formula>$N123="YES"</formula>
    </cfRule>
  </conditionalFormatting>
  <conditionalFormatting sqref="N124:O124">
    <cfRule type="expression" dxfId="79" priority="77">
      <formula>$N124="SUBMITTED WITH OPEN DEFECTS"</formula>
    </cfRule>
    <cfRule type="expression" dxfId="78" priority="78">
      <formula>$N124="NA"</formula>
    </cfRule>
    <cfRule type="expression" dxfId="77" priority="79">
      <formula>$N124="NO"</formula>
    </cfRule>
    <cfRule type="expression" dxfId="76" priority="80">
      <formula>$N124="YES"</formula>
    </cfRule>
  </conditionalFormatting>
  <conditionalFormatting sqref="N125:O125">
    <cfRule type="expression" dxfId="75" priority="73">
      <formula>$N125="SUBMITTED WITH OPEN DEFECTS"</formula>
    </cfRule>
    <cfRule type="expression" dxfId="74" priority="74">
      <formula>$N125="NA"</formula>
    </cfRule>
    <cfRule type="expression" dxfId="73" priority="75">
      <formula>$N125="NO"</formula>
    </cfRule>
    <cfRule type="expression" dxfId="72" priority="76">
      <formula>$N125="YES"</formula>
    </cfRule>
  </conditionalFormatting>
  <conditionalFormatting sqref="N127:O127">
    <cfRule type="expression" dxfId="71" priority="69">
      <formula>$N127="SUBMITTED WITH OPEN DEFECTS"</formula>
    </cfRule>
    <cfRule type="expression" dxfId="70" priority="70">
      <formula>$N127="NA"</formula>
    </cfRule>
    <cfRule type="expression" dxfId="69" priority="71">
      <formula>$N127="NO"</formula>
    </cfRule>
    <cfRule type="expression" dxfId="68" priority="72">
      <formula>$N127="YES"</formula>
    </cfRule>
  </conditionalFormatting>
  <conditionalFormatting sqref="N128:O128">
    <cfRule type="expression" dxfId="67" priority="65">
      <formula>$N128="SUBMITTED WITH OPEN DEFECTS"</formula>
    </cfRule>
    <cfRule type="expression" dxfId="66" priority="66">
      <formula>$N128="NA"</formula>
    </cfRule>
    <cfRule type="expression" dxfId="65" priority="67">
      <formula>$N128="NO"</formula>
    </cfRule>
    <cfRule type="expression" dxfId="64" priority="68">
      <formula>$N128="YES"</formula>
    </cfRule>
  </conditionalFormatting>
  <conditionalFormatting sqref="N130:O130">
    <cfRule type="expression" dxfId="63" priority="61">
      <formula>$N130="SUBMITTED WITH OPEN DEFECTS"</formula>
    </cfRule>
    <cfRule type="expression" dxfId="62" priority="62">
      <formula>$N130="NA"</formula>
    </cfRule>
    <cfRule type="expression" dxfId="61" priority="63">
      <formula>$N130="NO"</formula>
    </cfRule>
    <cfRule type="expression" dxfId="60" priority="64">
      <formula>$N130="YES"</formula>
    </cfRule>
  </conditionalFormatting>
  <conditionalFormatting sqref="N131:O131">
    <cfRule type="expression" dxfId="59" priority="57">
      <formula>$N131="SUBMITTED WITH OPEN DEFECTS"</formula>
    </cfRule>
    <cfRule type="expression" dxfId="58" priority="58">
      <formula>$N131="NA"</formula>
    </cfRule>
    <cfRule type="expression" dxfId="57" priority="59">
      <formula>$N131="NO"</formula>
    </cfRule>
    <cfRule type="expression" dxfId="56" priority="60">
      <formula>$N131="YES"</formula>
    </cfRule>
  </conditionalFormatting>
  <conditionalFormatting sqref="N133:O133">
    <cfRule type="expression" dxfId="55" priority="53">
      <formula>$N133="SUBMITTED WITH OPEN DEFECTS"</formula>
    </cfRule>
    <cfRule type="expression" dxfId="54" priority="54">
      <formula>$N133="NA"</formula>
    </cfRule>
    <cfRule type="expression" dxfId="53" priority="55">
      <formula>$N133="NO"</formula>
    </cfRule>
    <cfRule type="expression" dxfId="52" priority="56">
      <formula>$N133="YES"</formula>
    </cfRule>
  </conditionalFormatting>
  <conditionalFormatting sqref="N135:O135">
    <cfRule type="expression" dxfId="51" priority="49">
      <formula>$N135="SUBMITTED WITH OPEN DEFECTS"</formula>
    </cfRule>
    <cfRule type="expression" dxfId="50" priority="50">
      <formula>$N135="NA"</formula>
    </cfRule>
    <cfRule type="expression" dxfId="49" priority="51">
      <formula>$N135="NO"</formula>
    </cfRule>
    <cfRule type="expression" dxfId="48" priority="52">
      <formula>$N135="YES"</formula>
    </cfRule>
  </conditionalFormatting>
  <conditionalFormatting sqref="N136:O136">
    <cfRule type="expression" dxfId="47" priority="45">
      <formula>$N136="SUBMITTED WITH OPEN DEFECTS"</formula>
    </cfRule>
    <cfRule type="expression" dxfId="46" priority="46">
      <formula>$N136="NA"</formula>
    </cfRule>
    <cfRule type="expression" dxfId="45" priority="47">
      <formula>$N136="NO"</formula>
    </cfRule>
    <cfRule type="expression" dxfId="44" priority="48">
      <formula>$N136="YES"</formula>
    </cfRule>
  </conditionalFormatting>
  <conditionalFormatting sqref="N137:O137">
    <cfRule type="expression" dxfId="43" priority="41">
      <formula>$N137="SUBMITTED WITH OPEN DEFECTS"</formula>
    </cfRule>
    <cfRule type="expression" dxfId="42" priority="42">
      <formula>$N137="NA"</formula>
    </cfRule>
    <cfRule type="expression" dxfId="41" priority="43">
      <formula>$N137="NO"</formula>
    </cfRule>
    <cfRule type="expression" dxfId="40" priority="44">
      <formula>$N137="YES"</formula>
    </cfRule>
  </conditionalFormatting>
  <conditionalFormatting sqref="S92">
    <cfRule type="expression" dxfId="39" priority="37">
      <formula>$S92="SUBMITTED WITH OPEN DEFECTS"</formula>
    </cfRule>
    <cfRule type="expression" dxfId="38" priority="38">
      <formula>$S92="NA"</formula>
    </cfRule>
    <cfRule type="expression" dxfId="37" priority="39">
      <formula>$S92="NO"</formula>
    </cfRule>
    <cfRule type="expression" dxfId="36" priority="40">
      <formula>$S92="YES"</formula>
    </cfRule>
  </conditionalFormatting>
  <conditionalFormatting sqref="S96">
    <cfRule type="expression" dxfId="35" priority="33">
      <formula>$S96="SUBMITTED WITH OPEN DEFECTS"</formula>
    </cfRule>
    <cfRule type="expression" dxfId="34" priority="34">
      <formula>$S96="NA"</formula>
    </cfRule>
    <cfRule type="expression" dxfId="33" priority="35">
      <formula>$S96="NO"</formula>
    </cfRule>
    <cfRule type="expression" dxfId="32" priority="36">
      <formula>$S96="YES"</formula>
    </cfRule>
  </conditionalFormatting>
  <conditionalFormatting sqref="S103">
    <cfRule type="expression" dxfId="31" priority="29">
      <formula>$S103="SUBMITTED WITH OPEN DEFECTS"</formula>
    </cfRule>
    <cfRule type="expression" dxfId="30" priority="30">
      <formula>$S103="NA"</formula>
    </cfRule>
    <cfRule type="expression" dxfId="29" priority="31">
      <formula>$S103="NO"</formula>
    </cfRule>
    <cfRule type="expression" dxfId="28" priority="32">
      <formula>$S103="YES"</formula>
    </cfRule>
  </conditionalFormatting>
  <conditionalFormatting sqref="S111">
    <cfRule type="expression" dxfId="27" priority="25">
      <formula>$S111="SUBMITTED WITH OPEN DEFECTS"</formula>
    </cfRule>
    <cfRule type="expression" dxfId="26" priority="26">
      <formula>$S111="NA"</formula>
    </cfRule>
    <cfRule type="expression" dxfId="25" priority="27">
      <formula>$S111="NO"</formula>
    </cfRule>
    <cfRule type="expression" dxfId="24" priority="28">
      <formula>$S111="YES"</formula>
    </cfRule>
  </conditionalFormatting>
  <conditionalFormatting sqref="S116">
    <cfRule type="expression" dxfId="23" priority="21">
      <formula>$S116="SUBMITTED WITH OPEN DEFECTS"</formula>
    </cfRule>
    <cfRule type="expression" dxfId="22" priority="22">
      <formula>$S116="NA"</formula>
    </cfRule>
    <cfRule type="expression" dxfId="21" priority="23">
      <formula>$S116="NO"</formula>
    </cfRule>
    <cfRule type="expression" dxfId="20" priority="24">
      <formula>$S116="YES"</formula>
    </cfRule>
  </conditionalFormatting>
  <conditionalFormatting sqref="S121">
    <cfRule type="expression" dxfId="19" priority="17">
      <formula>$S121="SUBMITTED WITH OPEN DEFECTS"</formula>
    </cfRule>
    <cfRule type="expression" dxfId="18" priority="18">
      <formula>$S121="NA"</formula>
    </cfRule>
    <cfRule type="expression" dxfId="17" priority="19">
      <formula>$S121="NO"</formula>
    </cfRule>
    <cfRule type="expression" dxfId="16" priority="20">
      <formula>$S121="YES"</formula>
    </cfRule>
  </conditionalFormatting>
  <conditionalFormatting sqref="S126">
    <cfRule type="expression" dxfId="15" priority="13">
      <formula>$S126="SUBMITTED WITH OPEN DEFECTS"</formula>
    </cfRule>
    <cfRule type="expression" dxfId="14" priority="14">
      <formula>$S126="NA"</formula>
    </cfRule>
    <cfRule type="expression" dxfId="13" priority="15">
      <formula>$S126="NO"</formula>
    </cfRule>
    <cfRule type="expression" dxfId="12" priority="16">
      <formula>$S126="YES"</formula>
    </cfRule>
  </conditionalFormatting>
  <conditionalFormatting sqref="S129">
    <cfRule type="expression" dxfId="11" priority="9">
      <formula>$S129="SUBMITTED WITH OPEN DEFECTS"</formula>
    </cfRule>
    <cfRule type="expression" dxfId="10" priority="10">
      <formula>$S129="NA"</formula>
    </cfRule>
    <cfRule type="expression" dxfId="9" priority="11">
      <formula>$S129="NO"</formula>
    </cfRule>
    <cfRule type="expression" dxfId="8" priority="12">
      <formula>$S129="YES"</formula>
    </cfRule>
  </conditionalFormatting>
  <conditionalFormatting sqref="S132">
    <cfRule type="expression" dxfId="7" priority="5">
      <formula>$S132="SUBMITTED WITH OPEN DEFECTS"</formula>
    </cfRule>
    <cfRule type="expression" dxfId="6" priority="6">
      <formula>$S132="NA"</formula>
    </cfRule>
    <cfRule type="expression" dxfId="5" priority="7">
      <formula>$S132="NO"</formula>
    </cfRule>
    <cfRule type="expression" dxfId="4" priority="8">
      <formula>$S132="YES"</formula>
    </cfRule>
  </conditionalFormatting>
  <conditionalFormatting sqref="S134">
    <cfRule type="expression" dxfId="3" priority="1">
      <formula>$S134="SUBMITTED WITH OPEN DEFECTS"</formula>
    </cfRule>
    <cfRule type="expression" dxfId="2" priority="2">
      <formula>$S134="NA"</formula>
    </cfRule>
    <cfRule type="expression" dxfId="1" priority="3">
      <formula>$S134="NO"</formula>
    </cfRule>
    <cfRule type="expression" dxfId="0" priority="4">
      <formula>$S134="YES"</formula>
    </cfRule>
  </conditionalFormatting>
  <dataValidations count="9">
    <dataValidation type="list" allowBlank="1" showInputMessage="1" showErrorMessage="1" sqref="N146:O148 N71:O73 N59:O60 N62:O63 N65:O65 N67:O67 N69:O69 N214:O216 N29:O31 N33:O33 N35:O36 N38:O38 N75:O75 N44:O46 N150:O153 N206:O208 N40:O42 N202:O204 N195:O200 N192:O193 N182:O186 N210:O210 N173:O175 N167:O169 N155:O165 N171:O171 N77:O78 N144:O144 N48:O51" xr:uid="{3340ECC0-B335-4BBD-AA84-80FD532AA0F5}">
      <formula1>"YES,NO,NA"</formula1>
    </dataValidation>
    <dataValidation type="list" allowBlank="1" showInputMessage="1" showErrorMessage="1" sqref="F14:H14" xr:uid="{3B3CE614-37EB-4DEC-B5C8-0E4583E334E8}">
      <formula1>"Mono Site,Multi Site"</formula1>
    </dataValidation>
    <dataValidation type="list" allowBlank="1" showInputMessage="1" showErrorMessage="1" sqref="F15:H15" xr:uid="{F381BE53-8F8A-47A9-8228-3113796E56AC}">
      <formula1>"Active,Expired,Still to be activated"</formula1>
    </dataValidation>
    <dataValidation type="list" allowBlank="1" showInputMessage="1" showErrorMessage="1" sqref="F16:H16 F20:H20" xr:uid="{7ECDE52A-F09D-407B-A616-378373C852C9}">
      <formula1>"YES,NO"</formula1>
    </dataValidation>
    <dataValidation type="date" allowBlank="1" showInputMessage="1" showErrorMessage="1" errorTitle="Error" error="Only Date Allowed" sqref="N217:O217 N79:O79 N138:O138 N176:O176" xr:uid="{51059292-E042-4C30-91FB-8D8A2EC0C9BC}">
      <formula1>36892</formula1>
      <formula2>54789</formula2>
    </dataValidation>
    <dataValidation type="list" allowBlank="1" showInputMessage="1" showErrorMessage="1" sqref="L20:N20 Q18:R18" xr:uid="{A21D3F68-AB87-4A4F-A271-541FB60ADFF0}">
      <formula1>"1,2,3,4,5,6,7,8,9,10,11,12,13,14,15,16,17,18,19,20"</formula1>
    </dataValidation>
    <dataValidation type="list" allowBlank="1" showInputMessage="1" showErrorMessage="1" sqref="Q19:R19" xr:uid="{B5BC6379-CDA3-4E61-BFA3-265D9261D321}">
      <formula1>"NA,YES,NO"</formula1>
    </dataValidation>
    <dataValidation type="list" allowBlank="1" showInputMessage="1" showErrorMessage="1" sqref="N133:O133 N85:O91 N93:O95 N97:O102 N104:O110 N112:O115 N117:O120 N122:O125 N127:O128 N130:O131 N135:O137" xr:uid="{11EB78E8-A077-4637-ADB7-78BDFE279A4C}">
      <formula1>"YES,NO,SUBMITTED WITH OPEN DEFECTS,NA"</formula1>
    </dataValidation>
    <dataValidation type="date" operator="greaterThan" allowBlank="1" showInputMessage="1" showErrorMessage="1" errorTitle="Error" error="Only Date Allowed" sqref="N187:O187 N52:O52 E221 E190 E180 E142 E82 E56" xr:uid="{6F3765AB-706B-4849-8264-D1E5AE2DECD9}">
      <formula1>36526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utton3_Click">
                <anchor moveWithCells="1" sizeWithCells="1">
                  <from>
                    <xdr:col>18</xdr:col>
                    <xdr:colOff>25400</xdr:colOff>
                    <xdr:row>55</xdr:row>
                    <xdr:rowOff>50800</xdr:rowOff>
                  </from>
                  <to>
                    <xdr:col>19</xdr:col>
                    <xdr:colOff>0</xdr:colOff>
                    <xdr:row>55</xdr:row>
                    <xdr:rowOff>469900</xdr:rowOff>
                  </to>
                </anchor>
              </controlPr>
            </control>
          </mc:Choice>
        </mc:AlternateContent>
        <mc:AlternateContent xmlns:mc="http://schemas.openxmlformats.org/markup-compatibility/2006">
          <mc:Choice Requires="x14">
            <control shapeId="1029" r:id="rId5" name="Button 5">
              <controlPr defaultSize="0" print="0" autoFill="0" autoPict="0" macro="[0]!Button5_Click">
                <anchor moveWithCells="1" sizeWithCells="1">
                  <from>
                    <xdr:col>18</xdr:col>
                    <xdr:colOff>19050</xdr:colOff>
                    <xdr:row>81</xdr:row>
                    <xdr:rowOff>31750</xdr:rowOff>
                  </from>
                  <to>
                    <xdr:col>18</xdr:col>
                    <xdr:colOff>1212850</xdr:colOff>
                    <xdr:row>81</xdr:row>
                    <xdr:rowOff>533400</xdr:rowOff>
                  </to>
                </anchor>
              </controlPr>
            </control>
          </mc:Choice>
        </mc:AlternateContent>
        <mc:AlternateContent xmlns:mc="http://schemas.openxmlformats.org/markup-compatibility/2006">
          <mc:Choice Requires="x14">
            <control shapeId="1030" r:id="rId6" name="Button 6">
              <controlPr defaultSize="0" print="0" autoFill="0" autoPict="0" macro="[0]!Button6_Click">
                <anchor moveWithCells="1" sizeWithCells="1">
                  <from>
                    <xdr:col>18</xdr:col>
                    <xdr:colOff>25400</xdr:colOff>
                    <xdr:row>140</xdr:row>
                    <xdr:rowOff>552450</xdr:rowOff>
                  </from>
                  <to>
                    <xdr:col>18</xdr:col>
                    <xdr:colOff>1200150</xdr:colOff>
                    <xdr:row>141</xdr:row>
                    <xdr:rowOff>552450</xdr:rowOff>
                  </to>
                </anchor>
              </controlPr>
            </control>
          </mc:Choice>
        </mc:AlternateContent>
        <mc:AlternateContent xmlns:mc="http://schemas.openxmlformats.org/markup-compatibility/2006">
          <mc:Choice Requires="x14">
            <control shapeId="1032" r:id="rId7" name="Button 8">
              <controlPr defaultSize="0" print="0" autoFill="0" autoPict="0" macro="[0]!Button8_Click">
                <anchor moveWithCells="1" sizeWithCells="1">
                  <from>
                    <xdr:col>18</xdr:col>
                    <xdr:colOff>25400</xdr:colOff>
                    <xdr:row>219</xdr:row>
                    <xdr:rowOff>469900</xdr:rowOff>
                  </from>
                  <to>
                    <xdr:col>18</xdr:col>
                    <xdr:colOff>1212850</xdr:colOff>
                    <xdr:row>220</xdr:row>
                    <xdr:rowOff>469900</xdr:rowOff>
                  </to>
                </anchor>
              </controlPr>
            </control>
          </mc:Choice>
        </mc:AlternateContent>
        <mc:AlternateContent xmlns:mc="http://schemas.openxmlformats.org/markup-compatibility/2006">
          <mc:Choice Requires="x14">
            <control shapeId="1033" r:id="rId8" name="Button 9">
              <controlPr defaultSize="0" print="0" autoFill="0" autoPict="0" macro="[0]!Button9_Click">
                <anchor moveWithCells="1" sizeWithCells="1">
                  <from>
                    <xdr:col>18</xdr:col>
                    <xdr:colOff>31750</xdr:colOff>
                    <xdr:row>179</xdr:row>
                    <xdr:rowOff>0</xdr:rowOff>
                  </from>
                  <to>
                    <xdr:col>19</xdr:col>
                    <xdr:colOff>0</xdr:colOff>
                    <xdr:row>179</xdr:row>
                    <xdr:rowOff>450850</xdr:rowOff>
                  </to>
                </anchor>
              </controlPr>
            </control>
          </mc:Choice>
        </mc:AlternateContent>
        <mc:AlternateContent xmlns:mc="http://schemas.openxmlformats.org/markup-compatibility/2006">
          <mc:Choice Requires="x14">
            <control shapeId="1034" r:id="rId9" name="Button 10">
              <controlPr defaultSize="0" print="0" autoFill="0" autoPict="0" macro="[0]!Button10_Click">
                <anchor moveWithCells="1" sizeWithCells="1">
                  <from>
                    <xdr:col>18</xdr:col>
                    <xdr:colOff>25400</xdr:colOff>
                    <xdr:row>188</xdr:row>
                    <xdr:rowOff>546100</xdr:rowOff>
                  </from>
                  <to>
                    <xdr:col>19</xdr:col>
                    <xdr:colOff>0</xdr:colOff>
                    <xdr:row>189</xdr:row>
                    <xdr:rowOff>501650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7C716B8A-1E90-4D59-96CC-5E0288808D9D}">
          <x14:formula1>
            <xm:f>Support!$M$2:$M$10</xm:f>
          </x14:formula1>
          <xm:sqref>F11:H11</xm:sqref>
        </x14:dataValidation>
        <x14:dataValidation type="list" allowBlank="1" showInputMessage="1" showErrorMessage="1" xr:uid="{5FADFBFD-F5DA-46AF-A40B-F52D79B33853}">
          <x14:formula1>
            <xm:f>Support!$I$2:$I$38</xm:f>
          </x14:formula1>
          <xm:sqref>L10:N10</xm:sqref>
        </x14:dataValidation>
        <x14:dataValidation type="list" allowBlank="1" showInputMessage="1" showErrorMessage="1" xr:uid="{BB5F8FE5-00C6-43D2-84CE-82851C8CCD02}">
          <x14:formula1>
            <xm:f>Support!$J$2:$J$9</xm:f>
          </x14:formula1>
          <xm:sqref>Q14:R14</xm:sqref>
        </x14:dataValidation>
        <x14:dataValidation type="list" allowBlank="1" showInputMessage="1" showErrorMessage="1" xr:uid="{962B75AE-9195-4871-B87B-21E7ADB391B7}">
          <x14:formula1>
            <xm:f>Support!$B$2:$B$8</xm:f>
          </x14:formula1>
          <xm:sqref>F56:G56 F82:G82 F142:G142 F190:G190 F180:G180 F221:G221</xm:sqref>
        </x14:dataValidation>
        <x14:dataValidation type="list" allowBlank="1" showInputMessage="1" showErrorMessage="1" xr:uid="{908FE2C4-9506-4D06-8844-DECBF660B695}">
          <x14:formula1>
            <xm:f>Support!$H$2:$H$6</xm:f>
          </x14:formula1>
          <xm:sqref>L56:O56 L82:O82 L142:O142 L221:O221</xm:sqref>
        </x14:dataValidation>
        <x14:dataValidation type="list" allowBlank="1" showInputMessage="1" showErrorMessage="1" xr:uid="{CEAB5733-9530-4C25-826F-A4A14BD7D4EC}">
          <x14:formula1>
            <xm:f>Support!$E$2:$E$66</xm:f>
          </x14:formula1>
          <xm:sqref>F19:H19 Q16:R17 L17:N17 F17:F18 G17:H17</xm:sqref>
        </x14:dataValidation>
        <x14:dataValidation type="list" allowBlank="1" showInputMessage="1" showErrorMessage="1" xr:uid="{0BFB93AD-C704-4119-88F0-80FFAA097E67}">
          <x14:formula1>
            <xm:f>Support!$G$2:$G$4</xm:f>
          </x14:formula1>
          <xm:sqref>L190:O190 L180:O180</xm:sqref>
        </x14:dataValidation>
        <x14:dataValidation type="list" allowBlank="1" showInputMessage="1" showErrorMessage="1" xr:uid="{31349085-47C3-4170-84E8-161E6450C466}">
          <x14:formula1>
            <xm:f>Support!$N$2:$N$7</xm:f>
          </x14:formula1>
          <xm:sqref>N212:O212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9B08D-7F36-448D-8656-9FD75E40B8DE}">
  <sheetPr codeName="Sheet3"/>
  <dimension ref="A1:BQ3"/>
  <sheetViews>
    <sheetView workbookViewId="0">
      <selection activeCell="A2" sqref="A2"/>
    </sheetView>
  </sheetViews>
  <sheetFormatPr defaultRowHeight="14.5" x14ac:dyDescent="0.35"/>
  <cols>
    <col min="1" max="1" width="9.453125" customWidth="1"/>
    <col min="2" max="2" width="12.26953125" customWidth="1"/>
    <col min="3" max="3" width="13.81640625" customWidth="1"/>
    <col min="4" max="4" width="15.1796875" customWidth="1"/>
    <col min="5" max="5" width="13" customWidth="1"/>
    <col min="6" max="6" width="11.54296875" customWidth="1"/>
    <col min="7" max="7" width="11.26953125" customWidth="1"/>
    <col min="8" max="8" width="11.6328125" customWidth="1"/>
    <col min="9" max="9" width="11.81640625" customWidth="1"/>
    <col min="11" max="12" width="10.08984375" style="69" bestFit="1" customWidth="1"/>
    <col min="13" max="13" width="10.36328125" customWidth="1"/>
    <col min="14" max="15" width="10.08984375" style="69" bestFit="1" customWidth="1"/>
    <col min="16" max="16" width="13.26953125" customWidth="1"/>
    <col min="17" max="17" width="12.453125" customWidth="1"/>
    <col min="18" max="18" width="10.08984375" style="69" bestFit="1" customWidth="1"/>
    <col min="19" max="19" width="11.08984375" customWidth="1"/>
    <col min="20" max="20" width="13.08984375" customWidth="1"/>
    <col min="21" max="21" width="11.08984375" customWidth="1"/>
    <col min="22" max="22" width="12.81640625" customWidth="1"/>
    <col min="23" max="24" width="10.08984375" style="69" bestFit="1" customWidth="1"/>
    <col min="25" max="25" width="10.90625" customWidth="1"/>
    <col min="26" max="26" width="10.08984375" style="69" bestFit="1" customWidth="1"/>
    <col min="27" max="27" width="9.7265625" customWidth="1"/>
    <col min="28" max="28" width="12.36328125" customWidth="1"/>
    <col min="29" max="30" width="11.6328125" customWidth="1"/>
    <col min="31" max="32" width="13.453125" customWidth="1"/>
    <col min="33" max="33" width="11" customWidth="1"/>
    <col min="34" max="34" width="13.54296875" customWidth="1"/>
    <col min="35" max="36" width="10.81640625" customWidth="1"/>
    <col min="37" max="37" width="14.1796875" customWidth="1"/>
    <col min="38" max="38" width="11.36328125" customWidth="1"/>
    <col min="39" max="39" width="10.08984375" style="69" bestFit="1" customWidth="1"/>
    <col min="40" max="40" width="15.453125" customWidth="1"/>
    <col min="41" max="41" width="10.08984375" style="69" bestFit="1" customWidth="1"/>
    <col min="42" max="42" width="11.26953125" customWidth="1"/>
    <col min="43" max="43" width="10.36328125" customWidth="1"/>
    <col min="44" max="44" width="10.6328125" customWidth="1"/>
    <col min="45" max="45" width="12.36328125" customWidth="1"/>
    <col min="46" max="46" width="16.54296875" customWidth="1"/>
    <col min="47" max="47" width="14.7265625" customWidth="1"/>
    <col min="62" max="62" width="11.7265625" customWidth="1"/>
    <col min="63" max="63" width="11.81640625" customWidth="1"/>
    <col min="64" max="64" width="11.36328125" customWidth="1"/>
    <col min="65" max="65" width="12.36328125" customWidth="1"/>
    <col min="66" max="66" width="11.08984375" customWidth="1"/>
    <col min="67" max="67" width="11" customWidth="1"/>
    <col min="68" max="68" width="11.26953125" customWidth="1"/>
    <col min="69" max="69" width="11.7265625" customWidth="1"/>
  </cols>
  <sheetData>
    <row r="1" spans="1:69" ht="27.5" customHeight="1" x14ac:dyDescent="0.35">
      <c r="B1" s="71">
        <f>COUNTA(A:A)+2</f>
        <v>4</v>
      </c>
      <c r="C1" s="71">
        <v>0</v>
      </c>
    </row>
    <row r="2" spans="1:69" ht="87.5" customHeight="1" x14ac:dyDescent="0.35">
      <c r="A2" s="30" t="s">
        <v>152</v>
      </c>
      <c r="B2" s="31" t="s">
        <v>396</v>
      </c>
      <c r="C2" s="31" t="s">
        <v>415</v>
      </c>
      <c r="D2" s="31" t="s">
        <v>164</v>
      </c>
      <c r="E2" s="31" t="s">
        <v>154</v>
      </c>
      <c r="F2" s="31" t="s">
        <v>165</v>
      </c>
      <c r="G2" s="31" t="s">
        <v>155</v>
      </c>
      <c r="H2" s="31" t="s">
        <v>163</v>
      </c>
      <c r="I2" s="31" t="s">
        <v>417</v>
      </c>
      <c r="J2" s="31" t="s">
        <v>418</v>
      </c>
      <c r="K2" s="70" t="s">
        <v>419</v>
      </c>
      <c r="L2" s="70" t="s">
        <v>420</v>
      </c>
      <c r="M2" s="31" t="s">
        <v>423</v>
      </c>
      <c r="N2" s="70" t="s">
        <v>424</v>
      </c>
      <c r="O2" s="70" t="s">
        <v>425</v>
      </c>
      <c r="P2" s="31" t="s">
        <v>397</v>
      </c>
      <c r="Q2" s="31" t="s">
        <v>176</v>
      </c>
      <c r="R2" s="70" t="s">
        <v>169</v>
      </c>
      <c r="S2" s="31" t="s">
        <v>157</v>
      </c>
      <c r="T2" s="31" t="s">
        <v>426</v>
      </c>
      <c r="U2" s="31" t="s">
        <v>416</v>
      </c>
      <c r="V2" s="31" t="s">
        <v>422</v>
      </c>
      <c r="W2" s="70" t="s">
        <v>177</v>
      </c>
      <c r="X2" s="70" t="s">
        <v>170</v>
      </c>
      <c r="Y2" s="31" t="s">
        <v>159</v>
      </c>
      <c r="Z2" s="70" t="s">
        <v>427</v>
      </c>
      <c r="AA2" s="31" t="s">
        <v>171</v>
      </c>
      <c r="AB2" s="31" t="s">
        <v>428</v>
      </c>
      <c r="AC2" s="31" t="s">
        <v>429</v>
      </c>
      <c r="AD2" s="31" t="s">
        <v>430</v>
      </c>
      <c r="AE2" s="31" t="s">
        <v>431</v>
      </c>
      <c r="AF2" s="31" t="s">
        <v>400</v>
      </c>
      <c r="AG2" s="31" t="s">
        <v>421</v>
      </c>
      <c r="AH2" s="31" t="s">
        <v>161</v>
      </c>
      <c r="AI2" s="31" t="s">
        <v>179</v>
      </c>
      <c r="AJ2" s="31" t="s">
        <v>173</v>
      </c>
      <c r="AK2" s="31" t="s">
        <v>162</v>
      </c>
      <c r="AL2" s="31" t="s">
        <v>180</v>
      </c>
      <c r="AM2" s="70" t="s">
        <v>401</v>
      </c>
      <c r="AN2" s="31" t="s">
        <v>233</v>
      </c>
      <c r="AO2" s="70" t="s">
        <v>234</v>
      </c>
      <c r="AP2" s="31" t="s">
        <v>235</v>
      </c>
      <c r="AQ2" s="31" t="s">
        <v>236</v>
      </c>
      <c r="AR2" s="31" t="s">
        <v>237</v>
      </c>
      <c r="AS2" s="31" t="s">
        <v>194</v>
      </c>
      <c r="AT2" s="31" t="s">
        <v>195</v>
      </c>
      <c r="AU2" s="31" t="s">
        <v>196</v>
      </c>
      <c r="AV2" s="31" t="s">
        <v>525</v>
      </c>
      <c r="AW2" s="31" t="s">
        <v>245</v>
      </c>
      <c r="AX2" s="31" t="s">
        <v>218</v>
      </c>
      <c r="AY2" s="31" t="s">
        <v>515</v>
      </c>
      <c r="AZ2" s="31" t="s">
        <v>516</v>
      </c>
      <c r="BA2" s="31" t="s">
        <v>526</v>
      </c>
      <c r="BB2" s="31" t="s">
        <v>244</v>
      </c>
      <c r="BC2" s="31" t="s">
        <v>246</v>
      </c>
      <c r="BD2" s="31" t="s">
        <v>432</v>
      </c>
      <c r="BE2" s="31" t="s">
        <v>221</v>
      </c>
      <c r="BF2" s="31" t="s">
        <v>222</v>
      </c>
      <c r="BG2" s="35" t="s">
        <v>247</v>
      </c>
      <c r="BH2" s="35" t="s">
        <v>243</v>
      </c>
      <c r="BI2" s="35" t="s">
        <v>223</v>
      </c>
      <c r="BJ2" s="35" t="s">
        <v>217</v>
      </c>
      <c r="BK2" s="35" t="s">
        <v>190</v>
      </c>
      <c r="BL2" s="35" t="s">
        <v>197</v>
      </c>
      <c r="BM2" s="35" t="s">
        <v>410</v>
      </c>
      <c r="BN2" s="35" t="s">
        <v>219</v>
      </c>
      <c r="BO2" s="35" t="s">
        <v>433</v>
      </c>
      <c r="BP2" s="35" t="s">
        <v>434</v>
      </c>
      <c r="BQ2" s="35" t="s">
        <v>435</v>
      </c>
    </row>
    <row r="3" spans="1:69" x14ac:dyDescent="0.35">
      <c r="A3" t="s">
        <v>541</v>
      </c>
      <c r="B3" t="s">
        <v>538</v>
      </c>
      <c r="C3" t="s">
        <v>23</v>
      </c>
      <c r="D3">
        <v>22626754</v>
      </c>
      <c r="E3" t="s">
        <v>539</v>
      </c>
      <c r="F3" t="s">
        <v>542</v>
      </c>
      <c r="G3" t="s">
        <v>540</v>
      </c>
      <c r="H3" t="s">
        <v>36</v>
      </c>
      <c r="I3" t="s">
        <v>36</v>
      </c>
      <c r="J3" t="s">
        <v>20</v>
      </c>
      <c r="K3">
        <v>45484</v>
      </c>
      <c r="L3">
        <v>45484</v>
      </c>
      <c r="N3"/>
      <c r="O3"/>
      <c r="R3"/>
      <c r="S3" t="s">
        <v>19</v>
      </c>
      <c r="U3" t="s">
        <v>43</v>
      </c>
      <c r="V3" t="s">
        <v>34</v>
      </c>
      <c r="W3"/>
      <c r="X3"/>
      <c r="Y3" t="s">
        <v>21</v>
      </c>
      <c r="Z3"/>
      <c r="AA3" t="s">
        <v>13</v>
      </c>
      <c r="AB3" t="s">
        <v>23</v>
      </c>
      <c r="AC3" t="s">
        <v>23</v>
      </c>
      <c r="AD3" t="s">
        <v>23</v>
      </c>
      <c r="AE3" t="s">
        <v>23</v>
      </c>
      <c r="AF3" t="s">
        <v>23</v>
      </c>
      <c r="AG3">
        <v>1</v>
      </c>
      <c r="AH3" t="s">
        <v>23</v>
      </c>
      <c r="AI3" t="s">
        <v>23</v>
      </c>
      <c r="AJ3" t="s">
        <v>21</v>
      </c>
      <c r="AK3" t="s">
        <v>21</v>
      </c>
      <c r="AM3"/>
      <c r="AN3" t="s">
        <v>12</v>
      </c>
      <c r="AO3">
        <v>45539</v>
      </c>
      <c r="AP3" t="s">
        <v>543</v>
      </c>
      <c r="AQ3" t="s">
        <v>16</v>
      </c>
      <c r="AS3" t="s">
        <v>11</v>
      </c>
      <c r="AT3" t="s">
        <v>11</v>
      </c>
      <c r="AU3" t="s">
        <v>11</v>
      </c>
      <c r="AV3" t="s">
        <v>11</v>
      </c>
      <c r="AW3" t="s">
        <v>11</v>
      </c>
      <c r="AX3" t="s">
        <v>11</v>
      </c>
      <c r="AY3" t="s">
        <v>11</v>
      </c>
      <c r="AZ3" t="s">
        <v>11</v>
      </c>
      <c r="BA3" t="s">
        <v>11</v>
      </c>
      <c r="BB3" t="s">
        <v>11</v>
      </c>
      <c r="BC3" t="s">
        <v>11</v>
      </c>
      <c r="BD3" t="s">
        <v>11</v>
      </c>
      <c r="BE3" t="s">
        <v>11</v>
      </c>
      <c r="BF3" t="s">
        <v>23</v>
      </c>
      <c r="BG3" t="s">
        <v>23</v>
      </c>
      <c r="BH3" t="s">
        <v>23</v>
      </c>
      <c r="BI3" t="s">
        <v>23</v>
      </c>
      <c r="BJ3">
        <v>45539</v>
      </c>
      <c r="BK3" t="s">
        <v>11</v>
      </c>
      <c r="BL3" t="s">
        <v>11</v>
      </c>
      <c r="BM3" t="s">
        <v>11</v>
      </c>
      <c r="BN3" t="s">
        <v>11</v>
      </c>
      <c r="BO3" t="s">
        <v>11</v>
      </c>
      <c r="BP3" t="s">
        <v>11</v>
      </c>
      <c r="BQ3" t="s">
        <v>23</v>
      </c>
    </row>
  </sheetData>
  <sheetProtection algorithmName="SHA-512" hashValue="tOgtM0fBSHelqM4LIBH7YavWHRQS+fiSxct52G+ts1sbkvhB42FIX2X/37t11k7C2j+oRVt9wH6FApkEOBaVMw==" saltValue="UwGv0ctr0EyAwxbUEXzWiA==" spinCount="100000" sheet="1" objects="1" scenarios="1"/>
  <pageMargins left="0.7" right="0.7" top="0.75" bottom="0.75" header="0.3" footer="0.3"/>
  <drawing r:id="rId1"/>
  <legacyDrawing r:id="rId2"/>
  <controls>
    <mc:AlternateContent xmlns:mc="http://schemas.openxmlformats.org/markup-compatibility/2006">
      <mc:Choice Requires="x14">
        <control shapeId="2049" r:id="rId3" name="CommandButton1">
          <controlPr defaultSize="0" autoLine="0" r:id="rId4">
            <anchor moveWithCells="1">
              <from>
                <xdr:col>0</xdr:col>
                <xdr:colOff>76200</xdr:colOff>
                <xdr:row>0</xdr:row>
                <xdr:rowOff>31750</xdr:rowOff>
              </from>
              <to>
                <xdr:col>2</xdr:col>
                <xdr:colOff>717550</xdr:colOff>
                <xdr:row>0</xdr:row>
                <xdr:rowOff>304800</xdr:rowOff>
              </to>
            </anchor>
          </controlPr>
        </control>
      </mc:Choice>
      <mc:Fallback>
        <control shapeId="2049"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3D183-574B-4BA5-A121-E042C6C651DE}">
  <sheetPr codeName="Sheet4"/>
  <dimension ref="A1:BN3"/>
  <sheetViews>
    <sheetView workbookViewId="0">
      <selection activeCell="A2" sqref="A2"/>
    </sheetView>
  </sheetViews>
  <sheetFormatPr defaultRowHeight="14.5" x14ac:dyDescent="0.35"/>
  <cols>
    <col min="8" max="8" width="12.1796875" customWidth="1"/>
    <col min="9" max="9" width="11.6328125" customWidth="1"/>
    <col min="11" max="12" width="10.08984375" style="69" bestFit="1" customWidth="1"/>
    <col min="14" max="15" width="10.08984375" style="69" bestFit="1" customWidth="1"/>
    <col min="17" max="17" width="11.81640625" customWidth="1"/>
    <col min="18" max="18" width="11" style="69" customWidth="1"/>
    <col min="20" max="20" width="11" customWidth="1"/>
    <col min="23" max="24" width="10.08984375" style="69" bestFit="1" customWidth="1"/>
    <col min="26" max="26" width="10.08984375" style="69" bestFit="1" customWidth="1"/>
    <col min="36" max="36" width="10.6328125" customWidth="1"/>
    <col min="37" max="37" width="10.453125" customWidth="1"/>
    <col min="39" max="39" width="10.08984375" style="69" bestFit="1" customWidth="1"/>
    <col min="41" max="41" width="10.08984375" style="69" bestFit="1" customWidth="1"/>
    <col min="44" max="44" width="10.54296875" customWidth="1"/>
    <col min="45" max="45" width="12.26953125" customWidth="1"/>
    <col min="46" max="46" width="23.90625" customWidth="1"/>
    <col min="47" max="47" width="18.453125" customWidth="1"/>
    <col min="48" max="48" width="17.1796875" customWidth="1"/>
    <col min="49" max="49" width="15" customWidth="1"/>
    <col min="50" max="50" width="18.26953125" customWidth="1"/>
    <col min="51" max="51" width="17.08984375" customWidth="1"/>
    <col min="52" max="52" width="17.7265625" customWidth="1"/>
    <col min="53" max="53" width="17.54296875" customWidth="1"/>
    <col min="54" max="54" width="18.6328125" customWidth="1"/>
    <col min="55" max="55" width="18.08984375" customWidth="1"/>
    <col min="56" max="56" width="18.6328125" customWidth="1"/>
    <col min="57" max="57" width="17.90625" customWidth="1"/>
    <col min="59" max="59" width="13" customWidth="1"/>
    <col min="60" max="60" width="14.36328125" customWidth="1"/>
    <col min="62" max="62" width="13.1796875" customWidth="1"/>
    <col min="63" max="63" width="12.81640625" customWidth="1"/>
    <col min="65" max="65" width="11.90625" customWidth="1"/>
  </cols>
  <sheetData>
    <row r="1" spans="1:66" ht="39.5" customHeight="1" x14ac:dyDescent="0.35">
      <c r="B1" s="71">
        <f>COUNTA(A:A)+2</f>
        <v>4</v>
      </c>
      <c r="C1" s="71">
        <v>0</v>
      </c>
    </row>
    <row r="2" spans="1:66" ht="118" customHeight="1" x14ac:dyDescent="0.35">
      <c r="A2" s="30" t="s">
        <v>152</v>
      </c>
      <c r="B2" s="31" t="s">
        <v>396</v>
      </c>
      <c r="C2" s="31" t="s">
        <v>415</v>
      </c>
      <c r="D2" s="31" t="s">
        <v>164</v>
      </c>
      <c r="E2" s="31" t="s">
        <v>154</v>
      </c>
      <c r="F2" s="31" t="s">
        <v>165</v>
      </c>
      <c r="G2" s="31" t="s">
        <v>155</v>
      </c>
      <c r="H2" s="31" t="s">
        <v>163</v>
      </c>
      <c r="I2" s="31" t="s">
        <v>417</v>
      </c>
      <c r="J2" s="31" t="s">
        <v>418</v>
      </c>
      <c r="K2" s="70" t="s">
        <v>419</v>
      </c>
      <c r="L2" s="70" t="s">
        <v>420</v>
      </c>
      <c r="M2" s="31" t="s">
        <v>423</v>
      </c>
      <c r="N2" s="70" t="s">
        <v>424</v>
      </c>
      <c r="O2" s="70" t="s">
        <v>425</v>
      </c>
      <c r="P2" s="31" t="s">
        <v>397</v>
      </c>
      <c r="Q2" s="31" t="s">
        <v>176</v>
      </c>
      <c r="R2" s="70" t="s">
        <v>169</v>
      </c>
      <c r="S2" s="31" t="s">
        <v>157</v>
      </c>
      <c r="T2" s="31" t="s">
        <v>426</v>
      </c>
      <c r="U2" s="31" t="s">
        <v>416</v>
      </c>
      <c r="V2" s="31" t="s">
        <v>422</v>
      </c>
      <c r="W2" s="70" t="s">
        <v>177</v>
      </c>
      <c r="X2" s="70" t="s">
        <v>170</v>
      </c>
      <c r="Y2" s="31" t="s">
        <v>159</v>
      </c>
      <c r="Z2" s="70" t="s">
        <v>427</v>
      </c>
      <c r="AA2" s="31" t="s">
        <v>171</v>
      </c>
      <c r="AB2" s="31" t="s">
        <v>428</v>
      </c>
      <c r="AC2" s="31" t="s">
        <v>429</v>
      </c>
      <c r="AD2" s="31" t="s">
        <v>430</v>
      </c>
      <c r="AE2" s="31" t="s">
        <v>431</v>
      </c>
      <c r="AF2" s="31" t="s">
        <v>400</v>
      </c>
      <c r="AG2" s="31" t="s">
        <v>421</v>
      </c>
      <c r="AH2" s="31" t="s">
        <v>161</v>
      </c>
      <c r="AI2" s="31" t="s">
        <v>179</v>
      </c>
      <c r="AJ2" s="31" t="s">
        <v>173</v>
      </c>
      <c r="AK2" s="31" t="s">
        <v>162</v>
      </c>
      <c r="AL2" s="31" t="s">
        <v>180</v>
      </c>
      <c r="AM2" s="70" t="s">
        <v>401</v>
      </c>
      <c r="AN2" s="31" t="s">
        <v>233</v>
      </c>
      <c r="AO2" s="70" t="s">
        <v>234</v>
      </c>
      <c r="AP2" s="31" t="s">
        <v>235</v>
      </c>
      <c r="AQ2" s="31" t="s">
        <v>236</v>
      </c>
      <c r="AR2" s="31" t="s">
        <v>237</v>
      </c>
      <c r="AS2" s="67" t="s">
        <v>436</v>
      </c>
      <c r="AT2" s="67" t="s">
        <v>242</v>
      </c>
      <c r="AU2" s="67" t="s">
        <v>517</v>
      </c>
      <c r="AV2" s="67" t="s">
        <v>518</v>
      </c>
      <c r="AW2" s="67" t="s">
        <v>522</v>
      </c>
      <c r="AX2" s="67" t="s">
        <v>203</v>
      </c>
      <c r="AY2" s="35" t="s">
        <v>533</v>
      </c>
      <c r="AZ2" s="35" t="s">
        <v>437</v>
      </c>
      <c r="BA2" s="35" t="s">
        <v>208</v>
      </c>
      <c r="BB2" s="35" t="s">
        <v>210</v>
      </c>
      <c r="BC2" s="35" t="s">
        <v>402</v>
      </c>
      <c r="BD2" s="35" t="s">
        <v>214</v>
      </c>
      <c r="BE2" s="35" t="s">
        <v>216</v>
      </c>
      <c r="BF2" s="35" t="s">
        <v>217</v>
      </c>
      <c r="BG2" s="35" t="s">
        <v>249</v>
      </c>
      <c r="BH2" s="35" t="s">
        <v>248</v>
      </c>
      <c r="BI2" s="35" t="s">
        <v>438</v>
      </c>
      <c r="BJ2" s="35" t="s">
        <v>201</v>
      </c>
      <c r="BK2" s="35" t="s">
        <v>439</v>
      </c>
      <c r="BL2" s="35" t="s">
        <v>440</v>
      </c>
      <c r="BM2" s="35" t="s">
        <v>211</v>
      </c>
      <c r="BN2" s="35" t="s">
        <v>441</v>
      </c>
    </row>
    <row r="3" spans="1:66" x14ac:dyDescent="0.35">
      <c r="A3" t="s">
        <v>541</v>
      </c>
      <c r="B3" t="s">
        <v>538</v>
      </c>
      <c r="C3" t="s">
        <v>23</v>
      </c>
      <c r="D3">
        <v>22626754</v>
      </c>
      <c r="E3" t="s">
        <v>539</v>
      </c>
      <c r="F3" t="s">
        <v>542</v>
      </c>
      <c r="G3" t="s">
        <v>540</v>
      </c>
      <c r="H3" t="s">
        <v>36</v>
      </c>
      <c r="I3" t="s">
        <v>36</v>
      </c>
      <c r="J3" t="s">
        <v>20</v>
      </c>
      <c r="K3" s="69">
        <v>45484</v>
      </c>
      <c r="L3" s="69">
        <v>45484</v>
      </c>
      <c r="S3" t="s">
        <v>19</v>
      </c>
      <c r="U3" t="s">
        <v>43</v>
      </c>
      <c r="V3" t="s">
        <v>34</v>
      </c>
      <c r="Y3" t="s">
        <v>21</v>
      </c>
      <c r="AA3" t="s">
        <v>13</v>
      </c>
      <c r="AB3" t="s">
        <v>23</v>
      </c>
      <c r="AC3" t="s">
        <v>23</v>
      </c>
      <c r="AD3" t="s">
        <v>23</v>
      </c>
      <c r="AE3" t="s">
        <v>23</v>
      </c>
      <c r="AF3" t="s">
        <v>23</v>
      </c>
      <c r="AG3">
        <v>1</v>
      </c>
      <c r="AH3" t="s">
        <v>23</v>
      </c>
      <c r="AI3" t="s">
        <v>23</v>
      </c>
      <c r="AJ3" t="s">
        <v>21</v>
      </c>
      <c r="AK3" t="s">
        <v>21</v>
      </c>
      <c r="AN3" t="s">
        <v>12</v>
      </c>
      <c r="AO3" s="69">
        <v>45539</v>
      </c>
      <c r="AP3" t="s">
        <v>543</v>
      </c>
      <c r="AQ3" t="s">
        <v>16</v>
      </c>
      <c r="AS3" t="s">
        <v>11</v>
      </c>
      <c r="AT3" t="s">
        <v>11</v>
      </c>
      <c r="AU3" t="s">
        <v>11</v>
      </c>
      <c r="AV3" t="s">
        <v>11</v>
      </c>
      <c r="AW3" t="s">
        <v>11</v>
      </c>
      <c r="AX3" t="s">
        <v>11</v>
      </c>
      <c r="AY3" t="s">
        <v>11</v>
      </c>
      <c r="AZ3" t="s">
        <v>11</v>
      </c>
      <c r="BA3" t="s">
        <v>11</v>
      </c>
      <c r="BB3" t="s">
        <v>11</v>
      </c>
      <c r="BC3" t="s">
        <v>11</v>
      </c>
      <c r="BD3" t="s">
        <v>11</v>
      </c>
      <c r="BE3" t="s">
        <v>11</v>
      </c>
      <c r="BF3">
        <v>45539</v>
      </c>
      <c r="BG3" t="s">
        <v>11</v>
      </c>
      <c r="BH3" t="s">
        <v>11</v>
      </c>
      <c r="BI3" t="s">
        <v>11</v>
      </c>
      <c r="BJ3" t="s">
        <v>11</v>
      </c>
      <c r="BK3" t="s">
        <v>11</v>
      </c>
      <c r="BL3" t="s">
        <v>11</v>
      </c>
      <c r="BM3" t="s">
        <v>11</v>
      </c>
      <c r="BN3" t="s">
        <v>11</v>
      </c>
    </row>
  </sheetData>
  <sheetProtection algorithmName="SHA-512" hashValue="KkMhQnCdUcMe892ZfNHlJUfDNsanuj0d1N/4Cg7aNXF/oXKk4cpg2d2kMPw23VmhGjloAgLJqegdkMqaJ0kNIA==" saltValue="Ulk8EGPKcyoS7k0L2ixBdg==" spinCount="100000" sheet="1" objects="1" scenarios="1"/>
  <pageMargins left="0.7" right="0.7" top="0.75" bottom="0.75" header="0.3" footer="0.3"/>
  <drawing r:id="rId1"/>
  <legacyDrawing r:id="rId2"/>
  <controls>
    <mc:AlternateContent xmlns:mc="http://schemas.openxmlformats.org/markup-compatibility/2006">
      <mc:Choice Requires="x14">
        <control shapeId="3077" r:id="rId3" name="CommandButton1">
          <controlPr defaultSize="0" autoLine="0" r:id="rId4">
            <anchor moveWithCells="1">
              <from>
                <xdr:col>0</xdr:col>
                <xdr:colOff>107950</xdr:colOff>
                <xdr:row>0</xdr:row>
                <xdr:rowOff>101600</xdr:rowOff>
              </from>
              <to>
                <xdr:col>3</xdr:col>
                <xdr:colOff>438150</xdr:colOff>
                <xdr:row>0</xdr:row>
                <xdr:rowOff>374650</xdr:rowOff>
              </to>
            </anchor>
          </controlPr>
        </control>
      </mc:Choice>
      <mc:Fallback>
        <control shapeId="3077"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B502C-FFFE-47A2-BAC6-1D28AA090861}">
  <sheetPr codeName="Sheet5"/>
  <dimension ref="A1:CU3"/>
  <sheetViews>
    <sheetView workbookViewId="0">
      <selection activeCell="A2" sqref="A2"/>
    </sheetView>
  </sheetViews>
  <sheetFormatPr defaultRowHeight="14.5" x14ac:dyDescent="0.35"/>
  <cols>
    <col min="1" max="1" width="9.453125" customWidth="1"/>
    <col min="11" max="12" width="10.08984375" style="69" bestFit="1" customWidth="1"/>
    <col min="14" max="15" width="10.08984375" style="69" bestFit="1" customWidth="1"/>
    <col min="18" max="18" width="10.08984375" style="69" bestFit="1" customWidth="1"/>
    <col min="23" max="24" width="10.08984375" style="69" bestFit="1" customWidth="1"/>
    <col min="26" max="26" width="10.08984375" style="69" bestFit="1" customWidth="1"/>
    <col min="39" max="39" width="10.08984375" style="69" bestFit="1" customWidth="1"/>
    <col min="41" max="41" width="10.08984375" style="69" bestFit="1" customWidth="1"/>
    <col min="44" max="44" width="10.36328125" customWidth="1"/>
    <col min="52" max="52" width="18.1796875" customWidth="1"/>
    <col min="65" max="65" width="9.453125" customWidth="1"/>
    <col min="81" max="81" width="10.1796875" customWidth="1"/>
    <col min="82" max="82" width="11.1796875" customWidth="1"/>
    <col min="83" max="83" width="11.453125" customWidth="1"/>
    <col min="84" max="84" width="11.54296875" customWidth="1"/>
    <col min="88" max="88" width="10.08984375" bestFit="1" customWidth="1"/>
    <col min="89" max="89" width="10.81640625" customWidth="1"/>
    <col min="90" max="90" width="10.90625" customWidth="1"/>
  </cols>
  <sheetData>
    <row r="1" spans="1:99" ht="38.5" customHeight="1" x14ac:dyDescent="0.35">
      <c r="B1" s="71">
        <f>COUNTA(A:A)+2</f>
        <v>4</v>
      </c>
      <c r="C1" s="71">
        <v>0</v>
      </c>
    </row>
    <row r="2" spans="1:99" ht="124.5" customHeight="1" x14ac:dyDescent="0.35">
      <c r="A2" s="30" t="s">
        <v>152</v>
      </c>
      <c r="B2" s="31" t="s">
        <v>396</v>
      </c>
      <c r="C2" s="31" t="s">
        <v>415</v>
      </c>
      <c r="D2" s="31" t="s">
        <v>164</v>
      </c>
      <c r="E2" s="31" t="s">
        <v>154</v>
      </c>
      <c r="F2" s="31" t="s">
        <v>165</v>
      </c>
      <c r="G2" s="31" t="s">
        <v>155</v>
      </c>
      <c r="H2" s="31" t="s">
        <v>163</v>
      </c>
      <c r="I2" s="31" t="s">
        <v>417</v>
      </c>
      <c r="J2" s="31" t="s">
        <v>418</v>
      </c>
      <c r="K2" s="70" t="s">
        <v>419</v>
      </c>
      <c r="L2" s="70" t="s">
        <v>420</v>
      </c>
      <c r="M2" s="31" t="s">
        <v>423</v>
      </c>
      <c r="N2" s="70" t="s">
        <v>424</v>
      </c>
      <c r="O2" s="70" t="s">
        <v>425</v>
      </c>
      <c r="P2" s="31" t="s">
        <v>397</v>
      </c>
      <c r="Q2" s="31" t="s">
        <v>176</v>
      </c>
      <c r="R2" s="70" t="s">
        <v>169</v>
      </c>
      <c r="S2" s="31" t="s">
        <v>157</v>
      </c>
      <c r="T2" s="31" t="s">
        <v>426</v>
      </c>
      <c r="U2" s="31" t="s">
        <v>416</v>
      </c>
      <c r="V2" s="31" t="s">
        <v>422</v>
      </c>
      <c r="W2" s="70" t="s">
        <v>177</v>
      </c>
      <c r="X2" s="70" t="s">
        <v>170</v>
      </c>
      <c r="Y2" s="31" t="s">
        <v>159</v>
      </c>
      <c r="Z2" s="70" t="s">
        <v>427</v>
      </c>
      <c r="AA2" s="31" t="s">
        <v>171</v>
      </c>
      <c r="AB2" s="31" t="s">
        <v>428</v>
      </c>
      <c r="AC2" s="31" t="s">
        <v>429</v>
      </c>
      <c r="AD2" s="31" t="s">
        <v>430</v>
      </c>
      <c r="AE2" s="31" t="s">
        <v>431</v>
      </c>
      <c r="AF2" s="31" t="s">
        <v>400</v>
      </c>
      <c r="AG2" s="31" t="s">
        <v>421</v>
      </c>
      <c r="AH2" s="31" t="s">
        <v>161</v>
      </c>
      <c r="AI2" s="31" t="s">
        <v>179</v>
      </c>
      <c r="AJ2" s="31" t="s">
        <v>173</v>
      </c>
      <c r="AK2" s="31" t="s">
        <v>162</v>
      </c>
      <c r="AL2" s="31" t="s">
        <v>180</v>
      </c>
      <c r="AM2" s="70" t="s">
        <v>401</v>
      </c>
      <c r="AN2" s="31" t="s">
        <v>233</v>
      </c>
      <c r="AO2" s="70" t="s">
        <v>234</v>
      </c>
      <c r="AP2" s="31" t="s">
        <v>235</v>
      </c>
      <c r="AQ2" s="31" t="s">
        <v>236</v>
      </c>
      <c r="AR2" s="31" t="s">
        <v>237</v>
      </c>
      <c r="AS2" s="67" t="s">
        <v>442</v>
      </c>
      <c r="AT2" s="67" t="s">
        <v>444</v>
      </c>
      <c r="AU2" s="67" t="s">
        <v>443</v>
      </c>
      <c r="AV2" s="67" t="s">
        <v>445</v>
      </c>
      <c r="AW2" s="67" t="s">
        <v>446</v>
      </c>
      <c r="AX2" s="67" t="s">
        <v>447</v>
      </c>
      <c r="AY2" s="67" t="s">
        <v>448</v>
      </c>
      <c r="AZ2" s="67" t="s">
        <v>528</v>
      </c>
      <c r="BA2" s="67" t="s">
        <v>449</v>
      </c>
      <c r="BB2" s="67" t="s">
        <v>450</v>
      </c>
      <c r="BC2" s="67" t="s">
        <v>451</v>
      </c>
      <c r="BD2" s="67" t="s">
        <v>261</v>
      </c>
      <c r="BE2" s="67" t="s">
        <v>452</v>
      </c>
      <c r="BF2" s="67" t="s">
        <v>265</v>
      </c>
      <c r="BG2" s="67" t="s">
        <v>267</v>
      </c>
      <c r="BH2" s="67" t="s">
        <v>269</v>
      </c>
      <c r="BI2" s="67" t="s">
        <v>453</v>
      </c>
      <c r="BJ2" s="67" t="s">
        <v>273</v>
      </c>
      <c r="BK2" s="67" t="s">
        <v>454</v>
      </c>
      <c r="BL2" s="67" t="s">
        <v>455</v>
      </c>
      <c r="BM2" s="67" t="s">
        <v>279</v>
      </c>
      <c r="BN2" s="67" t="s">
        <v>281</v>
      </c>
      <c r="BO2" s="67" t="s">
        <v>456</v>
      </c>
      <c r="BP2" s="67" t="s">
        <v>457</v>
      </c>
      <c r="BQ2" s="67" t="s">
        <v>458</v>
      </c>
      <c r="BR2" s="67" t="s">
        <v>287</v>
      </c>
      <c r="BS2" s="67" t="s">
        <v>289</v>
      </c>
      <c r="BT2" s="67" t="s">
        <v>291</v>
      </c>
      <c r="BU2" s="67" t="s">
        <v>292</v>
      </c>
      <c r="BV2" s="67" t="s">
        <v>459</v>
      </c>
      <c r="BW2" s="67" t="s">
        <v>460</v>
      </c>
      <c r="BX2" s="67" t="s">
        <v>461</v>
      </c>
      <c r="BY2" s="67" t="s">
        <v>297</v>
      </c>
      <c r="BZ2" s="67" t="s">
        <v>298</v>
      </c>
      <c r="CA2" s="67" t="s">
        <v>462</v>
      </c>
      <c r="CB2" s="67" t="s">
        <v>463</v>
      </c>
      <c r="CC2" s="35" t="s">
        <v>464</v>
      </c>
      <c r="CD2" s="35" t="s">
        <v>465</v>
      </c>
      <c r="CE2" s="35" t="s">
        <v>466</v>
      </c>
      <c r="CF2" s="35" t="s">
        <v>406</v>
      </c>
      <c r="CG2" s="35" t="s">
        <v>467</v>
      </c>
      <c r="CH2" s="35" t="s">
        <v>468</v>
      </c>
      <c r="CI2" s="35" t="s">
        <v>469</v>
      </c>
      <c r="CJ2" s="35" t="s">
        <v>217</v>
      </c>
      <c r="CK2" s="35" t="s">
        <v>470</v>
      </c>
      <c r="CL2" s="35" t="s">
        <v>471</v>
      </c>
      <c r="CM2" s="35" t="s">
        <v>472</v>
      </c>
      <c r="CN2" s="35" t="s">
        <v>473</v>
      </c>
      <c r="CO2" s="35" t="s">
        <v>474</v>
      </c>
      <c r="CP2" s="35" t="s">
        <v>290</v>
      </c>
      <c r="CQ2" s="35" t="s">
        <v>475</v>
      </c>
      <c r="CR2" s="35" t="s">
        <v>476</v>
      </c>
      <c r="CS2" s="35" t="s">
        <v>477</v>
      </c>
      <c r="CT2" s="35" t="s">
        <v>408</v>
      </c>
      <c r="CU2" s="35" t="s">
        <v>478</v>
      </c>
    </row>
    <row r="3" spans="1:99" x14ac:dyDescent="0.35">
      <c r="A3" t="s">
        <v>541</v>
      </c>
      <c r="B3" t="s">
        <v>538</v>
      </c>
      <c r="C3" t="s">
        <v>23</v>
      </c>
      <c r="D3">
        <v>22626754</v>
      </c>
      <c r="E3" t="s">
        <v>539</v>
      </c>
      <c r="F3" t="s">
        <v>542</v>
      </c>
      <c r="G3" t="s">
        <v>540</v>
      </c>
      <c r="H3" t="s">
        <v>36</v>
      </c>
      <c r="I3" t="s">
        <v>36</v>
      </c>
      <c r="J3" t="s">
        <v>20</v>
      </c>
      <c r="K3" s="69">
        <v>45484</v>
      </c>
      <c r="L3" s="69">
        <v>45484</v>
      </c>
      <c r="S3" t="s">
        <v>19</v>
      </c>
      <c r="U3" t="s">
        <v>43</v>
      </c>
      <c r="V3" t="s">
        <v>34</v>
      </c>
      <c r="Y3" t="s">
        <v>21</v>
      </c>
      <c r="Z3" s="69">
        <v>45539</v>
      </c>
      <c r="AA3" t="s">
        <v>13</v>
      </c>
      <c r="AB3" t="s">
        <v>23</v>
      </c>
      <c r="AC3" t="s">
        <v>23</v>
      </c>
      <c r="AD3" t="s">
        <v>23</v>
      </c>
      <c r="AE3" t="s">
        <v>23</v>
      </c>
      <c r="AF3" t="s">
        <v>23</v>
      </c>
      <c r="AG3">
        <v>1</v>
      </c>
      <c r="AH3" t="s">
        <v>23</v>
      </c>
      <c r="AI3" t="s">
        <v>23</v>
      </c>
      <c r="AJ3" t="s">
        <v>21</v>
      </c>
      <c r="AK3" t="s">
        <v>21</v>
      </c>
      <c r="AN3" t="s">
        <v>12</v>
      </c>
      <c r="AO3" s="69">
        <v>45539</v>
      </c>
      <c r="AP3" t="s">
        <v>543</v>
      </c>
      <c r="AQ3" t="s">
        <v>16</v>
      </c>
      <c r="AS3" t="s">
        <v>11</v>
      </c>
      <c r="AT3" t="s">
        <v>11</v>
      </c>
      <c r="AU3" t="s">
        <v>11</v>
      </c>
      <c r="AV3" t="s">
        <v>11</v>
      </c>
      <c r="AW3" t="s">
        <v>11</v>
      </c>
      <c r="AX3" t="s">
        <v>11</v>
      </c>
      <c r="AY3" t="s">
        <v>11</v>
      </c>
      <c r="AZ3" t="s">
        <v>11</v>
      </c>
      <c r="BA3" t="s">
        <v>11</v>
      </c>
      <c r="BB3" t="s">
        <v>11</v>
      </c>
      <c r="BC3" t="s">
        <v>11</v>
      </c>
      <c r="BD3" t="s">
        <v>11</v>
      </c>
      <c r="BE3" t="s">
        <v>11</v>
      </c>
      <c r="BF3" t="s">
        <v>11</v>
      </c>
      <c r="BG3" t="s">
        <v>11</v>
      </c>
      <c r="BH3" t="s">
        <v>11</v>
      </c>
      <c r="BI3" t="s">
        <v>11</v>
      </c>
      <c r="BJ3" t="s">
        <v>11</v>
      </c>
      <c r="BK3" t="s">
        <v>11</v>
      </c>
      <c r="BL3" t="s">
        <v>11</v>
      </c>
      <c r="BM3" t="s">
        <v>11</v>
      </c>
      <c r="BN3" t="s">
        <v>11</v>
      </c>
      <c r="BO3" t="s">
        <v>11</v>
      </c>
      <c r="BP3" t="s">
        <v>11</v>
      </c>
      <c r="BQ3" t="s">
        <v>11</v>
      </c>
      <c r="BR3" t="s">
        <v>11</v>
      </c>
      <c r="BS3" t="s">
        <v>11</v>
      </c>
      <c r="BT3" t="s">
        <v>11</v>
      </c>
      <c r="BU3" t="s">
        <v>11</v>
      </c>
      <c r="BV3" t="s">
        <v>11</v>
      </c>
      <c r="BW3" t="s">
        <v>11</v>
      </c>
      <c r="BX3" t="s">
        <v>11</v>
      </c>
      <c r="BY3" t="s">
        <v>11</v>
      </c>
      <c r="BZ3" t="s">
        <v>11</v>
      </c>
      <c r="CA3" t="s">
        <v>11</v>
      </c>
      <c r="CB3" t="s">
        <v>11</v>
      </c>
      <c r="CC3" t="s">
        <v>11</v>
      </c>
      <c r="CD3" t="s">
        <v>11</v>
      </c>
      <c r="CE3" t="s">
        <v>11</v>
      </c>
      <c r="CF3" t="s">
        <v>11</v>
      </c>
      <c r="CG3" t="s">
        <v>11</v>
      </c>
      <c r="CH3" t="s">
        <v>11</v>
      </c>
      <c r="CI3" t="s">
        <v>11</v>
      </c>
      <c r="CJ3" s="69">
        <v>45539</v>
      </c>
      <c r="CK3" t="s">
        <v>11</v>
      </c>
      <c r="CL3" t="s">
        <v>11</v>
      </c>
      <c r="CM3" t="s">
        <v>11</v>
      </c>
      <c r="CN3" t="s">
        <v>11</v>
      </c>
      <c r="CO3" t="s">
        <v>11</v>
      </c>
      <c r="CP3" t="s">
        <v>11</v>
      </c>
      <c r="CQ3" t="s">
        <v>11</v>
      </c>
      <c r="CR3" t="s">
        <v>11</v>
      </c>
      <c r="CS3" t="s">
        <v>11</v>
      </c>
      <c r="CT3" t="s">
        <v>11</v>
      </c>
      <c r="CU3" t="s">
        <v>11</v>
      </c>
    </row>
  </sheetData>
  <sheetProtection algorithmName="SHA-512" hashValue="XvPIuadL9jOV/+1eDca4WjTa8GS0NckVLi69eZJ+CYLnaXm6aIq+7zGSwZk4ZKDh5dCMsznFC5Vvdy2xXZlCYg==" saltValue="gZaA5CyO8+SNir+VGHffKw==" spinCount="100000" sheet="1" objects="1" scenarios="1"/>
  <pageMargins left="0.7" right="0.7" top="0.75" bottom="0.75" header="0.3" footer="0.3"/>
  <drawing r:id="rId1"/>
  <legacyDrawing r:id="rId2"/>
  <controls>
    <mc:AlternateContent xmlns:mc="http://schemas.openxmlformats.org/markup-compatibility/2006">
      <mc:Choice Requires="x14">
        <control shapeId="4099" r:id="rId3" name="CommandButton1">
          <controlPr defaultSize="0" autoLine="0" r:id="rId4">
            <anchor moveWithCells="1">
              <from>
                <xdr:col>0</xdr:col>
                <xdr:colOff>133350</xdr:colOff>
                <xdr:row>0</xdr:row>
                <xdr:rowOff>107950</xdr:rowOff>
              </from>
              <to>
                <xdr:col>3</xdr:col>
                <xdr:colOff>412750</xdr:colOff>
                <xdr:row>0</xdr:row>
                <xdr:rowOff>381000</xdr:rowOff>
              </to>
            </anchor>
          </controlPr>
        </control>
      </mc:Choice>
      <mc:Fallback>
        <control shapeId="4099"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D03E6-F45F-464A-A97D-E99905A15B39}">
  <sheetPr codeName="Sheet6"/>
  <dimension ref="A1:BS3"/>
  <sheetViews>
    <sheetView workbookViewId="0">
      <selection activeCell="A2" sqref="A2"/>
    </sheetView>
  </sheetViews>
  <sheetFormatPr defaultRowHeight="14.5" x14ac:dyDescent="0.35"/>
  <cols>
    <col min="1" max="1" width="9.453125" customWidth="1"/>
    <col min="11" max="12" width="11.08984375" style="69" customWidth="1"/>
    <col min="14" max="15" width="11.08984375" style="69" customWidth="1"/>
    <col min="18" max="18" width="11.08984375" style="69" customWidth="1"/>
    <col min="23" max="24" width="10.08984375" style="69" bestFit="1" customWidth="1"/>
    <col min="26" max="26" width="10.08984375" style="69" bestFit="1" customWidth="1"/>
    <col min="39" max="39" width="10.08984375" style="69" bestFit="1" customWidth="1"/>
    <col min="41" max="41" width="10.08984375" style="69" bestFit="1" customWidth="1"/>
    <col min="44" max="44" width="10.36328125" customWidth="1"/>
    <col min="52" max="52" width="18.1796875" customWidth="1"/>
    <col min="55" max="56" width="15" customWidth="1"/>
    <col min="59" max="59" width="12.90625" customWidth="1"/>
    <col min="60" max="60" width="10.08984375" style="69" bestFit="1" customWidth="1"/>
    <col min="61" max="61" width="10.6328125" customWidth="1"/>
    <col min="63" max="63" width="13.6328125" customWidth="1"/>
    <col min="65" max="65" width="10" style="69" customWidth="1"/>
    <col min="66" max="66" width="10.81640625" customWidth="1"/>
    <col min="67" max="67" width="10.90625" customWidth="1"/>
    <col min="68" max="68" width="11.54296875" customWidth="1"/>
    <col min="69" max="69" width="9.90625" customWidth="1"/>
    <col min="70" max="70" width="10.81640625" customWidth="1"/>
    <col min="71" max="71" width="12.26953125" customWidth="1"/>
  </cols>
  <sheetData>
    <row r="1" spans="1:71" ht="40.5" customHeight="1" x14ac:dyDescent="0.35">
      <c r="B1" s="71">
        <f>COUNTA(A:A)+2</f>
        <v>4</v>
      </c>
      <c r="C1" s="71">
        <v>0</v>
      </c>
    </row>
    <row r="2" spans="1:71" ht="124.5" customHeight="1" x14ac:dyDescent="0.35">
      <c r="A2" s="30" t="s">
        <v>152</v>
      </c>
      <c r="B2" s="31" t="s">
        <v>396</v>
      </c>
      <c r="C2" s="31" t="s">
        <v>415</v>
      </c>
      <c r="D2" s="31" t="s">
        <v>164</v>
      </c>
      <c r="E2" s="31" t="s">
        <v>154</v>
      </c>
      <c r="F2" s="31" t="s">
        <v>165</v>
      </c>
      <c r="G2" s="31" t="s">
        <v>155</v>
      </c>
      <c r="H2" s="31" t="s">
        <v>163</v>
      </c>
      <c r="I2" s="31" t="s">
        <v>417</v>
      </c>
      <c r="J2" s="31" t="s">
        <v>418</v>
      </c>
      <c r="K2" s="70" t="s">
        <v>419</v>
      </c>
      <c r="L2" s="70" t="s">
        <v>420</v>
      </c>
      <c r="M2" s="31" t="s">
        <v>423</v>
      </c>
      <c r="N2" s="70" t="s">
        <v>424</v>
      </c>
      <c r="O2" s="70" t="s">
        <v>425</v>
      </c>
      <c r="P2" s="31" t="s">
        <v>397</v>
      </c>
      <c r="Q2" s="31" t="s">
        <v>176</v>
      </c>
      <c r="R2" s="70" t="s">
        <v>169</v>
      </c>
      <c r="S2" s="31" t="s">
        <v>157</v>
      </c>
      <c r="T2" s="31" t="s">
        <v>426</v>
      </c>
      <c r="U2" s="31" t="s">
        <v>416</v>
      </c>
      <c r="V2" s="31" t="s">
        <v>422</v>
      </c>
      <c r="W2" s="70" t="s">
        <v>177</v>
      </c>
      <c r="X2" s="70" t="s">
        <v>170</v>
      </c>
      <c r="Y2" s="31" t="s">
        <v>159</v>
      </c>
      <c r="Z2" s="70" t="s">
        <v>427</v>
      </c>
      <c r="AA2" s="31" t="s">
        <v>171</v>
      </c>
      <c r="AB2" s="31" t="s">
        <v>428</v>
      </c>
      <c r="AC2" s="31" t="s">
        <v>429</v>
      </c>
      <c r="AD2" s="31" t="s">
        <v>430</v>
      </c>
      <c r="AE2" s="31" t="s">
        <v>431</v>
      </c>
      <c r="AF2" s="31" t="s">
        <v>400</v>
      </c>
      <c r="AG2" s="31" t="s">
        <v>421</v>
      </c>
      <c r="AH2" s="31" t="s">
        <v>161</v>
      </c>
      <c r="AI2" s="31" t="s">
        <v>179</v>
      </c>
      <c r="AJ2" s="31" t="s">
        <v>173</v>
      </c>
      <c r="AK2" s="31" t="s">
        <v>162</v>
      </c>
      <c r="AL2" s="31" t="s">
        <v>180</v>
      </c>
      <c r="AM2" s="70" t="s">
        <v>401</v>
      </c>
      <c r="AN2" s="31" t="s">
        <v>233</v>
      </c>
      <c r="AO2" s="70" t="s">
        <v>234</v>
      </c>
      <c r="AP2" s="31" t="s">
        <v>235</v>
      </c>
      <c r="AQ2" s="31" t="s">
        <v>236</v>
      </c>
      <c r="AR2" s="31" t="s">
        <v>237</v>
      </c>
      <c r="AS2" s="67" t="s">
        <v>362</v>
      </c>
      <c r="AT2" s="67" t="s">
        <v>409</v>
      </c>
      <c r="AU2" s="67" t="s">
        <v>364</v>
      </c>
      <c r="AV2" s="67" t="s">
        <v>365</v>
      </c>
      <c r="AW2" s="67" t="s">
        <v>366</v>
      </c>
      <c r="AX2" s="67" t="s">
        <v>367</v>
      </c>
      <c r="AY2" s="67" t="s">
        <v>368</v>
      </c>
      <c r="AZ2" s="67" t="s">
        <v>369</v>
      </c>
      <c r="BA2" s="67" t="s">
        <v>371</v>
      </c>
      <c r="BB2" s="67" t="s">
        <v>372</v>
      </c>
      <c r="BC2" s="67" t="s">
        <v>373</v>
      </c>
      <c r="BD2" s="67" t="s">
        <v>479</v>
      </c>
      <c r="BE2" s="67" t="s">
        <v>480</v>
      </c>
      <c r="BF2" s="67" t="s">
        <v>375</v>
      </c>
      <c r="BG2" s="67" t="s">
        <v>376</v>
      </c>
      <c r="BH2" s="74" t="s">
        <v>377</v>
      </c>
      <c r="BI2" s="67" t="s">
        <v>378</v>
      </c>
      <c r="BJ2" s="67" t="s">
        <v>380</v>
      </c>
      <c r="BK2" s="67" t="s">
        <v>381</v>
      </c>
      <c r="BL2" s="67" t="s">
        <v>383</v>
      </c>
      <c r="BM2" s="74" t="s">
        <v>217</v>
      </c>
      <c r="BN2" s="35" t="s">
        <v>361</v>
      </c>
      <c r="BO2" s="35" t="s">
        <v>363</v>
      </c>
      <c r="BP2" s="35" t="s">
        <v>481</v>
      </c>
      <c r="BQ2" s="35" t="s">
        <v>482</v>
      </c>
      <c r="BR2" s="35" t="s">
        <v>483</v>
      </c>
      <c r="BS2" s="35" t="s">
        <v>379</v>
      </c>
    </row>
    <row r="3" spans="1:71" x14ac:dyDescent="0.35">
      <c r="A3" t="s">
        <v>541</v>
      </c>
      <c r="B3" t="s">
        <v>538</v>
      </c>
      <c r="C3" t="s">
        <v>23</v>
      </c>
      <c r="D3">
        <v>22626754</v>
      </c>
      <c r="E3" t="s">
        <v>539</v>
      </c>
      <c r="F3" t="s">
        <v>542</v>
      </c>
      <c r="G3" t="s">
        <v>540</v>
      </c>
      <c r="H3" t="s">
        <v>36</v>
      </c>
      <c r="I3" t="s">
        <v>36</v>
      </c>
      <c r="J3" t="s">
        <v>20</v>
      </c>
      <c r="K3" s="69">
        <v>45484</v>
      </c>
      <c r="L3" s="69">
        <v>45484</v>
      </c>
      <c r="S3" t="s">
        <v>19</v>
      </c>
      <c r="U3" t="s">
        <v>43</v>
      </c>
      <c r="V3" t="s">
        <v>34</v>
      </c>
      <c r="Y3" t="s">
        <v>21</v>
      </c>
      <c r="Z3" s="69">
        <v>45539</v>
      </c>
      <c r="AA3" t="s">
        <v>13</v>
      </c>
      <c r="AB3" t="s">
        <v>23</v>
      </c>
      <c r="AC3" t="s">
        <v>23</v>
      </c>
      <c r="AD3" t="s">
        <v>23</v>
      </c>
      <c r="AE3" t="s">
        <v>23</v>
      </c>
      <c r="AF3" t="s">
        <v>23</v>
      </c>
      <c r="AG3">
        <v>1</v>
      </c>
      <c r="AH3" t="s">
        <v>23</v>
      </c>
      <c r="AI3" t="s">
        <v>23</v>
      </c>
      <c r="AJ3" t="s">
        <v>21</v>
      </c>
      <c r="AK3" t="s">
        <v>21</v>
      </c>
      <c r="AM3"/>
      <c r="AN3" t="s">
        <v>12</v>
      </c>
      <c r="AO3" s="69">
        <v>45539</v>
      </c>
      <c r="AP3" t="s">
        <v>543</v>
      </c>
      <c r="AQ3" t="s">
        <v>16</v>
      </c>
      <c r="AS3" t="s">
        <v>11</v>
      </c>
      <c r="AT3" t="s">
        <v>11</v>
      </c>
      <c r="AU3" t="s">
        <v>11</v>
      </c>
      <c r="AV3" t="s">
        <v>11</v>
      </c>
      <c r="AW3" t="s">
        <v>11</v>
      </c>
      <c r="AX3" t="s">
        <v>11</v>
      </c>
      <c r="AY3" t="s">
        <v>11</v>
      </c>
      <c r="AZ3" t="s">
        <v>11</v>
      </c>
      <c r="BA3" t="s">
        <v>11</v>
      </c>
      <c r="BB3" t="s">
        <v>11</v>
      </c>
      <c r="BC3" t="s">
        <v>11</v>
      </c>
      <c r="BD3" t="s">
        <v>11</v>
      </c>
      <c r="BE3" t="s">
        <v>11</v>
      </c>
      <c r="BF3" t="s">
        <v>11</v>
      </c>
      <c r="BG3" t="s">
        <v>11</v>
      </c>
      <c r="BH3" s="69">
        <v>45539</v>
      </c>
      <c r="BI3" t="s">
        <v>16</v>
      </c>
      <c r="BJ3" t="s">
        <v>11</v>
      </c>
      <c r="BK3" t="s">
        <v>11</v>
      </c>
      <c r="BL3" t="s">
        <v>11</v>
      </c>
      <c r="BM3" s="69">
        <v>45539</v>
      </c>
      <c r="BN3" t="s">
        <v>11</v>
      </c>
      <c r="BO3" t="s">
        <v>11</v>
      </c>
      <c r="BP3" t="s">
        <v>11</v>
      </c>
      <c r="BQ3" t="s">
        <v>11</v>
      </c>
      <c r="BR3" t="s">
        <v>11</v>
      </c>
      <c r="BS3" t="s">
        <v>11</v>
      </c>
    </row>
  </sheetData>
  <sheetProtection algorithmName="SHA-512" hashValue="ZJQGnXZpUnQj+wLkzIXgCt4g/RaYR9ex0pjFhL4agfI4uAYbydL7xivhzCgZjrU8e1Do/NTBQBriIpmaw6L6fA==" saltValue="d8NkOoOnzE5arEQQLlZX8g==" spinCount="100000" sheet="1" objects="1" scenarios="1"/>
  <pageMargins left="0.7" right="0.7" top="0.75" bottom="0.75" header="0.3" footer="0.3"/>
  <drawing r:id="rId1"/>
  <legacyDrawing r:id="rId2"/>
  <controls>
    <mc:AlternateContent xmlns:mc="http://schemas.openxmlformats.org/markup-compatibility/2006">
      <mc:Choice Requires="x14">
        <control shapeId="5122" r:id="rId3" name="CommandButton1">
          <controlPr defaultSize="0" autoLine="0" r:id="rId4">
            <anchor moveWithCells="1">
              <from>
                <xdr:col>0</xdr:col>
                <xdr:colOff>133350</xdr:colOff>
                <xdr:row>0</xdr:row>
                <xdr:rowOff>107950</xdr:rowOff>
              </from>
              <to>
                <xdr:col>3</xdr:col>
                <xdr:colOff>412750</xdr:colOff>
                <xdr:row>0</xdr:row>
                <xdr:rowOff>381000</xdr:rowOff>
              </to>
            </anchor>
          </controlPr>
        </control>
      </mc:Choice>
      <mc:Fallback>
        <control shapeId="5122"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C6A29-9240-4B7A-AA23-D0BFA98332AA}">
  <sheetPr codeName="Sheet7"/>
  <dimension ref="A1:BZ3"/>
  <sheetViews>
    <sheetView workbookViewId="0">
      <selection activeCell="A2" sqref="A2"/>
    </sheetView>
  </sheetViews>
  <sheetFormatPr defaultRowHeight="14.5" x14ac:dyDescent="0.35"/>
  <cols>
    <col min="11" max="12" width="10.08984375" style="69" bestFit="1" customWidth="1"/>
    <col min="14" max="15" width="10.08984375" style="69" bestFit="1" customWidth="1"/>
    <col min="18" max="18" width="10.08984375" style="69" bestFit="1" customWidth="1"/>
    <col min="23" max="24" width="10.08984375" style="69" bestFit="1" customWidth="1"/>
    <col min="26" max="26" width="10.08984375" style="69" bestFit="1" customWidth="1"/>
    <col min="39" max="39" width="10.08984375" style="69" bestFit="1" customWidth="1"/>
    <col min="41" max="41" width="10.08984375" style="69" bestFit="1" customWidth="1"/>
    <col min="44" max="44" width="9.54296875" customWidth="1"/>
    <col min="53" max="53" width="24.7265625" customWidth="1"/>
    <col min="54" max="54" width="20" customWidth="1"/>
    <col min="56" max="56" width="17.26953125" customWidth="1"/>
    <col min="57" max="57" width="23.26953125" customWidth="1"/>
    <col min="58" max="58" width="18.453125" customWidth="1"/>
    <col min="59" max="59" width="20.90625" customWidth="1"/>
    <col min="60" max="60" width="20.08984375" customWidth="1"/>
    <col min="61" max="61" width="21.08984375" customWidth="1"/>
    <col min="62" max="62" width="20.7265625" customWidth="1"/>
    <col min="63" max="63" width="22.08984375" customWidth="1"/>
    <col min="64" max="64" width="26" customWidth="1"/>
    <col min="65" max="65" width="22" customWidth="1"/>
    <col min="66" max="66" width="19.90625" customWidth="1"/>
    <col min="67" max="67" width="21.54296875" customWidth="1"/>
    <col min="68" max="68" width="17.6328125" customWidth="1"/>
    <col min="69" max="69" width="15.7265625" customWidth="1"/>
    <col min="70" max="70" width="13.08984375" customWidth="1"/>
    <col min="71" max="71" width="17.81640625" customWidth="1"/>
    <col min="73" max="73" width="10.6328125" customWidth="1"/>
    <col min="74" max="74" width="11.54296875" customWidth="1"/>
    <col min="75" max="75" width="14.26953125" customWidth="1"/>
    <col min="76" max="76" width="11.1796875" customWidth="1"/>
    <col min="77" max="77" width="11.90625" customWidth="1"/>
    <col min="78" max="78" width="12.36328125" customWidth="1"/>
  </cols>
  <sheetData>
    <row r="1" spans="1:78" ht="35" customHeight="1" x14ac:dyDescent="0.35">
      <c r="B1" s="71">
        <f>COUNTA(A:A)+2</f>
        <v>4</v>
      </c>
      <c r="C1" s="71">
        <v>0</v>
      </c>
    </row>
    <row r="2" spans="1:78" ht="136.5" customHeight="1" x14ac:dyDescent="0.35">
      <c r="A2" s="30" t="s">
        <v>152</v>
      </c>
      <c r="B2" s="31" t="s">
        <v>396</v>
      </c>
      <c r="C2" s="31" t="s">
        <v>415</v>
      </c>
      <c r="D2" s="31" t="s">
        <v>164</v>
      </c>
      <c r="E2" s="31" t="s">
        <v>154</v>
      </c>
      <c r="F2" s="31" t="s">
        <v>165</v>
      </c>
      <c r="G2" s="31" t="s">
        <v>155</v>
      </c>
      <c r="H2" s="31" t="s">
        <v>163</v>
      </c>
      <c r="I2" s="31" t="s">
        <v>417</v>
      </c>
      <c r="J2" s="31" t="s">
        <v>418</v>
      </c>
      <c r="K2" s="70" t="s">
        <v>419</v>
      </c>
      <c r="L2" s="70" t="s">
        <v>420</v>
      </c>
      <c r="M2" s="31" t="s">
        <v>423</v>
      </c>
      <c r="N2" s="70" t="s">
        <v>424</v>
      </c>
      <c r="O2" s="70" t="s">
        <v>425</v>
      </c>
      <c r="P2" s="31" t="s">
        <v>397</v>
      </c>
      <c r="Q2" s="31" t="s">
        <v>176</v>
      </c>
      <c r="R2" s="70" t="s">
        <v>169</v>
      </c>
      <c r="S2" s="31" t="s">
        <v>157</v>
      </c>
      <c r="T2" s="31" t="s">
        <v>426</v>
      </c>
      <c r="U2" s="31" t="s">
        <v>416</v>
      </c>
      <c r="V2" s="31" t="s">
        <v>422</v>
      </c>
      <c r="W2" s="70" t="s">
        <v>177</v>
      </c>
      <c r="X2" s="70" t="s">
        <v>170</v>
      </c>
      <c r="Y2" s="31" t="s">
        <v>159</v>
      </c>
      <c r="Z2" s="70" t="s">
        <v>427</v>
      </c>
      <c r="AA2" s="31" t="s">
        <v>171</v>
      </c>
      <c r="AB2" s="31" t="s">
        <v>428</v>
      </c>
      <c r="AC2" s="31" t="s">
        <v>429</v>
      </c>
      <c r="AD2" s="31" t="s">
        <v>430</v>
      </c>
      <c r="AE2" s="31" t="s">
        <v>431</v>
      </c>
      <c r="AF2" s="31" t="s">
        <v>400</v>
      </c>
      <c r="AG2" s="31" t="s">
        <v>421</v>
      </c>
      <c r="AH2" s="31" t="s">
        <v>161</v>
      </c>
      <c r="AI2" s="31" t="s">
        <v>179</v>
      </c>
      <c r="AJ2" s="31" t="s">
        <v>173</v>
      </c>
      <c r="AK2" s="31" t="s">
        <v>162</v>
      </c>
      <c r="AL2" s="31" t="s">
        <v>180</v>
      </c>
      <c r="AM2" s="70" t="s">
        <v>401</v>
      </c>
      <c r="AN2" s="31" t="s">
        <v>233</v>
      </c>
      <c r="AO2" s="70" t="s">
        <v>234</v>
      </c>
      <c r="AP2" s="31" t="s">
        <v>235</v>
      </c>
      <c r="AQ2" s="31" t="s">
        <v>236</v>
      </c>
      <c r="AR2" s="31" t="s">
        <v>237</v>
      </c>
      <c r="AS2" s="67" t="s">
        <v>484</v>
      </c>
      <c r="AT2" s="67" t="s">
        <v>485</v>
      </c>
      <c r="AU2" s="67" t="s">
        <v>486</v>
      </c>
      <c r="AV2" s="67" t="s">
        <v>487</v>
      </c>
      <c r="AW2" s="67" t="s">
        <v>488</v>
      </c>
      <c r="AX2" s="67" t="s">
        <v>489</v>
      </c>
      <c r="AY2" s="67" t="s">
        <v>490</v>
      </c>
      <c r="AZ2" s="67" t="s">
        <v>491</v>
      </c>
      <c r="BA2" s="67" t="s">
        <v>492</v>
      </c>
      <c r="BB2" s="67" t="s">
        <v>493</v>
      </c>
      <c r="BC2" s="67" t="s">
        <v>494</v>
      </c>
      <c r="BD2" s="67" t="s">
        <v>495</v>
      </c>
      <c r="BE2" s="67" t="s">
        <v>496</v>
      </c>
      <c r="BF2" s="67" t="s">
        <v>497</v>
      </c>
      <c r="BG2" s="67" t="s">
        <v>338</v>
      </c>
      <c r="BH2" s="67" t="s">
        <v>498</v>
      </c>
      <c r="BI2" s="67" t="s">
        <v>499</v>
      </c>
      <c r="BJ2" s="67" t="s">
        <v>500</v>
      </c>
      <c r="BK2" s="67" t="s">
        <v>501</v>
      </c>
      <c r="BL2" s="67" t="s">
        <v>347</v>
      </c>
      <c r="BM2" s="67" t="s">
        <v>502</v>
      </c>
      <c r="BN2" s="67" t="s">
        <v>349</v>
      </c>
      <c r="BO2" s="67" t="s">
        <v>351</v>
      </c>
      <c r="BP2" s="67" t="s">
        <v>503</v>
      </c>
      <c r="BQ2" s="67" t="s">
        <v>504</v>
      </c>
      <c r="BR2" s="67" t="s">
        <v>355</v>
      </c>
      <c r="BS2" s="67" t="s">
        <v>217</v>
      </c>
      <c r="BT2" s="67" t="s">
        <v>320</v>
      </c>
      <c r="BU2" s="67" t="s">
        <v>505</v>
      </c>
      <c r="BV2" s="67" t="s">
        <v>473</v>
      </c>
      <c r="BW2" s="67" t="s">
        <v>506</v>
      </c>
      <c r="BX2" s="67" t="s">
        <v>507</v>
      </c>
      <c r="BY2" s="67" t="s">
        <v>350</v>
      </c>
      <c r="BZ2" s="67" t="s">
        <v>508</v>
      </c>
    </row>
    <row r="3" spans="1:78" x14ac:dyDescent="0.35">
      <c r="A3" t="s">
        <v>541</v>
      </c>
      <c r="B3" t="s">
        <v>538</v>
      </c>
      <c r="C3" t="s">
        <v>23</v>
      </c>
      <c r="D3">
        <v>22626754</v>
      </c>
      <c r="E3" t="s">
        <v>539</v>
      </c>
      <c r="F3" t="s">
        <v>542</v>
      </c>
      <c r="G3" t="s">
        <v>540</v>
      </c>
      <c r="H3" t="s">
        <v>36</v>
      </c>
      <c r="I3" t="s">
        <v>36</v>
      </c>
      <c r="J3" t="s">
        <v>20</v>
      </c>
      <c r="K3" s="69">
        <v>45484</v>
      </c>
      <c r="L3" s="69">
        <v>45484</v>
      </c>
      <c r="S3" t="s">
        <v>19</v>
      </c>
      <c r="U3" t="s">
        <v>43</v>
      </c>
      <c r="V3" t="s">
        <v>34</v>
      </c>
      <c r="Y3" t="s">
        <v>21</v>
      </c>
      <c r="Z3" s="69">
        <v>45539</v>
      </c>
      <c r="AA3" t="s">
        <v>13</v>
      </c>
      <c r="AB3" t="s">
        <v>23</v>
      </c>
      <c r="AC3" t="s">
        <v>23</v>
      </c>
      <c r="AD3" t="s">
        <v>23</v>
      </c>
      <c r="AE3" t="s">
        <v>23</v>
      </c>
      <c r="AF3" t="s">
        <v>23</v>
      </c>
      <c r="AG3">
        <v>1</v>
      </c>
      <c r="AH3" t="s">
        <v>23</v>
      </c>
      <c r="AI3" t="s">
        <v>23</v>
      </c>
      <c r="AJ3" t="s">
        <v>21</v>
      </c>
      <c r="AK3" t="s">
        <v>21</v>
      </c>
      <c r="AN3" t="s">
        <v>12</v>
      </c>
      <c r="AO3" s="69">
        <v>45539</v>
      </c>
      <c r="AP3" t="s">
        <v>543</v>
      </c>
      <c r="AQ3" t="s">
        <v>26</v>
      </c>
      <c r="AS3" t="s">
        <v>11</v>
      </c>
      <c r="AT3" t="s">
        <v>11</v>
      </c>
      <c r="AU3" t="s">
        <v>11</v>
      </c>
      <c r="AV3" t="s">
        <v>11</v>
      </c>
      <c r="AW3" t="s">
        <v>11</v>
      </c>
      <c r="AX3" t="s">
        <v>11</v>
      </c>
      <c r="AY3" t="s">
        <v>11</v>
      </c>
      <c r="AZ3" t="s">
        <v>11</v>
      </c>
      <c r="BA3" t="s">
        <v>11</v>
      </c>
      <c r="BB3" t="s">
        <v>11</v>
      </c>
      <c r="BC3" t="s">
        <v>11</v>
      </c>
      <c r="BD3" t="s">
        <v>11</v>
      </c>
      <c r="BE3" t="s">
        <v>11</v>
      </c>
      <c r="BF3" t="s">
        <v>11</v>
      </c>
      <c r="BG3" t="s">
        <v>11</v>
      </c>
      <c r="BH3" t="s">
        <v>11</v>
      </c>
      <c r="BI3" t="s">
        <v>11</v>
      </c>
      <c r="BJ3" t="s">
        <v>11</v>
      </c>
      <c r="BK3" t="s">
        <v>11</v>
      </c>
      <c r="BL3" t="s">
        <v>11</v>
      </c>
      <c r="BM3" t="s">
        <v>11</v>
      </c>
      <c r="BN3" t="s">
        <v>11</v>
      </c>
      <c r="BO3" t="s">
        <v>11</v>
      </c>
      <c r="BP3" t="s">
        <v>11</v>
      </c>
      <c r="BQ3" t="s">
        <v>11</v>
      </c>
      <c r="BR3" t="s">
        <v>11</v>
      </c>
      <c r="BS3">
        <v>45539</v>
      </c>
      <c r="BT3" t="s">
        <v>11</v>
      </c>
      <c r="BU3" t="s">
        <v>11</v>
      </c>
      <c r="BV3" t="s">
        <v>11</v>
      </c>
      <c r="BW3" t="s">
        <v>11</v>
      </c>
      <c r="BX3" t="s">
        <v>11</v>
      </c>
      <c r="BY3" t="s">
        <v>11</v>
      </c>
      <c r="BZ3" t="s">
        <v>11</v>
      </c>
    </row>
  </sheetData>
  <sheetProtection algorithmName="SHA-512" hashValue="qgnrByazKV359pDKfxOFdZY21HZeKsOKdK6NliKG0/WuW1TZ9NVcy873ELW36rP5SmMiP5LaPk9/mJLDPqz15A==" saltValue="4mGOYOorVn7pqENt1kI5/Q==" spinCount="100000" sheet="1" objects="1" scenarios="1"/>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Line="0" r:id="rId4">
            <anchor moveWithCells="1">
              <from>
                <xdr:col>0</xdr:col>
                <xdr:colOff>133350</xdr:colOff>
                <xdr:row>0</xdr:row>
                <xdr:rowOff>107950</xdr:rowOff>
              </from>
              <to>
                <xdr:col>3</xdr:col>
                <xdr:colOff>463550</xdr:colOff>
                <xdr:row>0</xdr:row>
                <xdr:rowOff>381000</xdr:rowOff>
              </to>
            </anchor>
          </controlPr>
        </control>
      </mc:Choice>
      <mc:Fallback>
        <control shapeId="6145"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A768E-FBD9-4984-8B41-5C2FA5226EB1}">
  <sheetPr codeName="Sheet8"/>
  <dimension ref="A1:AY3"/>
  <sheetViews>
    <sheetView topLeftCell="AJ1" workbookViewId="0">
      <selection activeCell="AS3" sqref="AS3:AX3"/>
    </sheetView>
  </sheetViews>
  <sheetFormatPr defaultRowHeight="14.5" x14ac:dyDescent="0.35"/>
  <cols>
    <col min="11" max="12" width="10.08984375" style="69" bestFit="1" customWidth="1"/>
    <col min="14" max="15" width="10.08984375" style="69" bestFit="1" customWidth="1"/>
    <col min="18" max="18" width="10.08984375" style="69" bestFit="1" customWidth="1"/>
    <col min="23" max="24" width="10.08984375" style="69" bestFit="1" customWidth="1"/>
    <col min="26" max="26" width="10.08984375" style="69" bestFit="1" customWidth="1"/>
    <col min="39" max="39" width="10.08984375" style="69" bestFit="1" customWidth="1"/>
    <col min="41" max="41" width="10.08984375" style="69" bestFit="1" customWidth="1"/>
    <col min="44" max="44" width="12.1796875" customWidth="1"/>
    <col min="45" max="45" width="20.08984375" customWidth="1"/>
    <col min="46" max="46" width="14.6328125" customWidth="1"/>
    <col min="47" max="47" width="11.81640625" customWidth="1"/>
    <col min="48" max="48" width="23.90625" customWidth="1"/>
    <col min="49" max="49" width="18.36328125" customWidth="1"/>
    <col min="50" max="50" width="10.08984375" style="69" bestFit="1" customWidth="1"/>
  </cols>
  <sheetData>
    <row r="1" spans="1:51" ht="36" customHeight="1" x14ac:dyDescent="0.35">
      <c r="B1" s="71">
        <f>COUNTA(A:A)+2</f>
        <v>4</v>
      </c>
      <c r="C1" s="71">
        <v>0</v>
      </c>
    </row>
    <row r="2" spans="1:51" ht="99" customHeight="1" x14ac:dyDescent="0.35">
      <c r="A2" s="30" t="s">
        <v>152</v>
      </c>
      <c r="B2" s="31" t="s">
        <v>396</v>
      </c>
      <c r="C2" s="31" t="s">
        <v>415</v>
      </c>
      <c r="D2" s="31" t="s">
        <v>164</v>
      </c>
      <c r="E2" s="31" t="s">
        <v>154</v>
      </c>
      <c r="F2" s="31" t="s">
        <v>165</v>
      </c>
      <c r="G2" s="31" t="s">
        <v>155</v>
      </c>
      <c r="H2" s="31" t="s">
        <v>163</v>
      </c>
      <c r="I2" s="31" t="s">
        <v>417</v>
      </c>
      <c r="J2" s="31" t="s">
        <v>418</v>
      </c>
      <c r="K2" s="70" t="s">
        <v>419</v>
      </c>
      <c r="L2" s="70" t="s">
        <v>420</v>
      </c>
      <c r="M2" s="31" t="s">
        <v>423</v>
      </c>
      <c r="N2" s="70" t="s">
        <v>424</v>
      </c>
      <c r="O2" s="70" t="s">
        <v>425</v>
      </c>
      <c r="P2" s="31" t="s">
        <v>397</v>
      </c>
      <c r="Q2" s="31" t="s">
        <v>176</v>
      </c>
      <c r="R2" s="70" t="s">
        <v>169</v>
      </c>
      <c r="S2" s="31" t="s">
        <v>157</v>
      </c>
      <c r="T2" s="31" t="s">
        <v>426</v>
      </c>
      <c r="U2" s="31" t="s">
        <v>416</v>
      </c>
      <c r="V2" s="31" t="s">
        <v>422</v>
      </c>
      <c r="W2" s="70" t="s">
        <v>177</v>
      </c>
      <c r="X2" s="70" t="s">
        <v>170</v>
      </c>
      <c r="Y2" s="31" t="s">
        <v>159</v>
      </c>
      <c r="Z2" s="70" t="s">
        <v>427</v>
      </c>
      <c r="AA2" s="31" t="s">
        <v>171</v>
      </c>
      <c r="AB2" s="31" t="s">
        <v>428</v>
      </c>
      <c r="AC2" s="31" t="s">
        <v>429</v>
      </c>
      <c r="AD2" s="31" t="s">
        <v>430</v>
      </c>
      <c r="AE2" s="31" t="s">
        <v>431</v>
      </c>
      <c r="AF2" s="31" t="s">
        <v>400</v>
      </c>
      <c r="AG2" s="31" t="s">
        <v>421</v>
      </c>
      <c r="AH2" s="31" t="s">
        <v>161</v>
      </c>
      <c r="AI2" s="31" t="s">
        <v>179</v>
      </c>
      <c r="AJ2" s="31" t="s">
        <v>173</v>
      </c>
      <c r="AK2" s="31" t="s">
        <v>162</v>
      </c>
      <c r="AL2" s="31" t="s">
        <v>180</v>
      </c>
      <c r="AM2" s="70" t="s">
        <v>401</v>
      </c>
      <c r="AN2" s="31" t="s">
        <v>233</v>
      </c>
      <c r="AO2" s="70" t="s">
        <v>234</v>
      </c>
      <c r="AP2" s="31" t="s">
        <v>235</v>
      </c>
      <c r="AQ2" s="31" t="s">
        <v>236</v>
      </c>
      <c r="AR2" s="31" t="s">
        <v>237</v>
      </c>
      <c r="AS2" s="67" t="s">
        <v>356</v>
      </c>
      <c r="AT2" s="67" t="s">
        <v>357</v>
      </c>
      <c r="AU2" s="67" t="s">
        <v>358</v>
      </c>
      <c r="AV2" s="67" t="s">
        <v>359</v>
      </c>
      <c r="AW2" s="67" t="s">
        <v>513</v>
      </c>
      <c r="AX2" s="74" t="s">
        <v>217</v>
      </c>
      <c r="AY2" s="67" t="s">
        <v>360</v>
      </c>
    </row>
    <row r="3" spans="1:51" x14ac:dyDescent="0.35">
      <c r="A3" t="s">
        <v>541</v>
      </c>
      <c r="AS3" t="s">
        <v>11</v>
      </c>
      <c r="AT3" t="s">
        <v>11</v>
      </c>
      <c r="AU3" t="s">
        <v>11</v>
      </c>
      <c r="AV3" t="s">
        <v>11</v>
      </c>
      <c r="AW3" t="s">
        <v>11</v>
      </c>
      <c r="AX3" s="69">
        <v>0</v>
      </c>
    </row>
  </sheetData>
  <sheetProtection algorithmName="SHA-512" hashValue="9jH7e/CeaIRHTHqSzTDA/N9mamWzscjkY6Gx6Hcvn160Njx26HdVeACBimF3VK/a+IRE8Lz7qFdHqlHo+n1MPQ==" saltValue="8TfHgzl/3QIpT3nr87MBtg==" spinCount="100000" sheet="1" objects="1" scenarios="1"/>
  <pageMargins left="0.7" right="0.7" top="0.75" bottom="0.75" header="0.3" footer="0.3"/>
  <drawing r:id="rId1"/>
  <legacyDrawing r:id="rId2"/>
  <controls>
    <mc:AlternateContent xmlns:mc="http://schemas.openxmlformats.org/markup-compatibility/2006">
      <mc:Choice Requires="x14">
        <control shapeId="7169" r:id="rId3" name="CommandButton1">
          <controlPr defaultSize="0" autoLine="0" r:id="rId4">
            <anchor moveWithCells="1">
              <from>
                <xdr:col>0</xdr:col>
                <xdr:colOff>133350</xdr:colOff>
                <xdr:row>0</xdr:row>
                <xdr:rowOff>107950</xdr:rowOff>
              </from>
              <to>
                <xdr:col>3</xdr:col>
                <xdr:colOff>463550</xdr:colOff>
                <xdr:row>0</xdr:row>
                <xdr:rowOff>381000</xdr:rowOff>
              </to>
            </anchor>
          </controlPr>
        </control>
      </mc:Choice>
      <mc:Fallback>
        <control shapeId="7169" r:id="rId3" name="CommandButto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351E6-B34C-4121-B8ED-A569C4683271}">
  <sheetPr codeName="Sheet2"/>
  <dimension ref="A1:N66"/>
  <sheetViews>
    <sheetView topLeftCell="D1" workbookViewId="0">
      <selection activeCell="G4" sqref="G4"/>
    </sheetView>
  </sheetViews>
  <sheetFormatPr defaultRowHeight="14.5" x14ac:dyDescent="0.35"/>
  <cols>
    <col min="1" max="1" width="28.08984375" bestFit="1" customWidth="1"/>
    <col min="2" max="2" width="9.81640625" bestFit="1" customWidth="1"/>
    <col min="3" max="3" width="7.08984375" bestFit="1" customWidth="1"/>
    <col min="4" max="4" width="8.453125" bestFit="1" customWidth="1"/>
    <col min="5" max="5" width="24.36328125" bestFit="1" customWidth="1"/>
    <col min="6" max="6" width="16.1796875" bestFit="1" customWidth="1"/>
    <col min="7" max="7" width="11.08984375" bestFit="1" customWidth="1"/>
    <col min="8" max="8" width="14.81640625" bestFit="1" customWidth="1"/>
    <col min="9" max="9" width="19" bestFit="1" customWidth="1"/>
    <col min="10" max="10" width="11.453125" bestFit="1" customWidth="1"/>
    <col min="11" max="11" width="10.90625" bestFit="1" customWidth="1"/>
    <col min="12" max="12" width="8.7265625" bestFit="1" customWidth="1"/>
    <col min="13" max="13" width="14.08984375" bestFit="1" customWidth="1"/>
  </cols>
  <sheetData>
    <row r="1" spans="1:14" ht="42" x14ac:dyDescent="0.35">
      <c r="A1" s="1" t="s">
        <v>0</v>
      </c>
      <c r="B1" s="1" t="s">
        <v>1</v>
      </c>
      <c r="C1" s="1" t="s">
        <v>0</v>
      </c>
      <c r="D1" s="2" t="s">
        <v>2</v>
      </c>
      <c r="E1" s="1" t="s">
        <v>3</v>
      </c>
      <c r="F1" s="1" t="s">
        <v>4</v>
      </c>
      <c r="G1" s="1" t="s">
        <v>5</v>
      </c>
      <c r="H1" s="1" t="s">
        <v>6</v>
      </c>
      <c r="I1" s="1" t="s">
        <v>7</v>
      </c>
      <c r="J1" s="1" t="s">
        <v>8</v>
      </c>
      <c r="K1" s="2" t="s">
        <v>2</v>
      </c>
      <c r="L1" s="2" t="s">
        <v>9</v>
      </c>
      <c r="M1" s="3" t="s">
        <v>10</v>
      </c>
      <c r="N1" s="1" t="s">
        <v>520</v>
      </c>
    </row>
    <row r="2" spans="1:14" x14ac:dyDescent="0.35">
      <c r="A2" t="s">
        <v>11</v>
      </c>
      <c r="B2" t="s">
        <v>12</v>
      </c>
      <c r="C2" t="s">
        <v>11</v>
      </c>
      <c r="D2" t="s">
        <v>11</v>
      </c>
      <c r="E2" t="s">
        <v>23</v>
      </c>
      <c r="F2" t="s">
        <v>14</v>
      </c>
      <c r="G2" t="s">
        <v>510</v>
      </c>
      <c r="H2" t="s">
        <v>16</v>
      </c>
      <c r="I2" t="s">
        <v>17</v>
      </c>
      <c r="J2" t="s">
        <v>18</v>
      </c>
      <c r="K2" t="s">
        <v>11</v>
      </c>
      <c r="L2" t="s">
        <v>19</v>
      </c>
      <c r="M2" t="s">
        <v>20</v>
      </c>
      <c r="N2" t="s">
        <v>23</v>
      </c>
    </row>
    <row r="3" spans="1:14" x14ac:dyDescent="0.35">
      <c r="A3" t="s">
        <v>21</v>
      </c>
      <c r="B3" t="s">
        <v>22</v>
      </c>
      <c r="C3" t="s">
        <v>21</v>
      </c>
      <c r="D3" t="s">
        <v>23</v>
      </c>
      <c r="E3" t="s">
        <v>13</v>
      </c>
      <c r="F3" t="s">
        <v>25</v>
      </c>
      <c r="G3" t="s">
        <v>26</v>
      </c>
      <c r="H3" t="s">
        <v>27</v>
      </c>
      <c r="I3" t="s">
        <v>28</v>
      </c>
      <c r="J3" t="s">
        <v>29</v>
      </c>
      <c r="K3" t="s">
        <v>21</v>
      </c>
      <c r="L3" t="s">
        <v>30</v>
      </c>
      <c r="M3" t="s">
        <v>31</v>
      </c>
      <c r="N3" t="s">
        <v>16</v>
      </c>
    </row>
    <row r="4" spans="1:14" x14ac:dyDescent="0.35">
      <c r="A4" t="s">
        <v>23</v>
      </c>
      <c r="B4" t="s">
        <v>32</v>
      </c>
      <c r="C4" t="s">
        <v>23</v>
      </c>
      <c r="E4" t="s">
        <v>24</v>
      </c>
      <c r="F4" t="s">
        <v>34</v>
      </c>
      <c r="G4" t="s">
        <v>521</v>
      </c>
      <c r="H4" t="s">
        <v>35</v>
      </c>
      <c r="I4" t="s">
        <v>36</v>
      </c>
      <c r="J4" t="s">
        <v>37</v>
      </c>
      <c r="M4" t="s">
        <v>38</v>
      </c>
      <c r="N4" t="s">
        <v>27</v>
      </c>
    </row>
    <row r="5" spans="1:14" x14ac:dyDescent="0.35">
      <c r="B5" t="s">
        <v>39</v>
      </c>
      <c r="E5" t="s">
        <v>33</v>
      </c>
      <c r="H5" t="s">
        <v>41</v>
      </c>
      <c r="I5" t="s">
        <v>42</v>
      </c>
      <c r="J5" t="s">
        <v>43</v>
      </c>
      <c r="M5" t="s">
        <v>44</v>
      </c>
      <c r="N5" t="s">
        <v>35</v>
      </c>
    </row>
    <row r="6" spans="1:14" x14ac:dyDescent="0.35">
      <c r="B6" t="s">
        <v>45</v>
      </c>
      <c r="E6" t="s">
        <v>40</v>
      </c>
      <c r="H6" t="s">
        <v>47</v>
      </c>
      <c r="I6" t="s">
        <v>48</v>
      </c>
      <c r="J6" t="s">
        <v>49</v>
      </c>
      <c r="M6" t="s">
        <v>50</v>
      </c>
      <c r="N6" t="s">
        <v>41</v>
      </c>
    </row>
    <row r="7" spans="1:14" x14ac:dyDescent="0.35">
      <c r="B7" t="s">
        <v>51</v>
      </c>
      <c r="E7" t="s">
        <v>46</v>
      </c>
      <c r="I7" t="s">
        <v>53</v>
      </c>
      <c r="J7" t="s">
        <v>54</v>
      </c>
      <c r="M7" t="s">
        <v>55</v>
      </c>
      <c r="N7" t="s">
        <v>47</v>
      </c>
    </row>
    <row r="8" spans="1:14" x14ac:dyDescent="0.35">
      <c r="B8" t="s">
        <v>56</v>
      </c>
      <c r="E8" t="s">
        <v>52</v>
      </c>
      <c r="I8" t="s">
        <v>58</v>
      </c>
      <c r="J8" t="s">
        <v>59</v>
      </c>
      <c r="M8" t="s">
        <v>60</v>
      </c>
    </row>
    <row r="9" spans="1:14" x14ac:dyDescent="0.35">
      <c r="E9" t="s">
        <v>57</v>
      </c>
      <c r="I9" t="s">
        <v>62</v>
      </c>
      <c r="J9" t="s">
        <v>63</v>
      </c>
      <c r="M9" t="s">
        <v>64</v>
      </c>
    </row>
    <row r="10" spans="1:14" x14ac:dyDescent="0.35">
      <c r="E10" t="s">
        <v>61</v>
      </c>
      <c r="I10" t="s">
        <v>66</v>
      </c>
      <c r="M10" t="s">
        <v>67</v>
      </c>
    </row>
    <row r="11" spans="1:14" x14ac:dyDescent="0.35">
      <c r="E11" t="s">
        <v>65</v>
      </c>
      <c r="I11" t="s">
        <v>69</v>
      </c>
    </row>
    <row r="12" spans="1:14" x14ac:dyDescent="0.35">
      <c r="E12" t="s">
        <v>68</v>
      </c>
      <c r="I12" t="s">
        <v>71</v>
      </c>
    </row>
    <row r="13" spans="1:14" x14ac:dyDescent="0.35">
      <c r="E13" t="s">
        <v>70</v>
      </c>
      <c r="I13" t="s">
        <v>73</v>
      </c>
    </row>
    <row r="14" spans="1:14" x14ac:dyDescent="0.35">
      <c r="E14" t="s">
        <v>72</v>
      </c>
      <c r="I14" t="s">
        <v>75</v>
      </c>
    </row>
    <row r="15" spans="1:14" x14ac:dyDescent="0.35">
      <c r="E15" t="s">
        <v>74</v>
      </c>
      <c r="I15" t="s">
        <v>77</v>
      </c>
    </row>
    <row r="16" spans="1:14" x14ac:dyDescent="0.35">
      <c r="E16" t="s">
        <v>76</v>
      </c>
      <c r="I16" t="s">
        <v>79</v>
      </c>
    </row>
    <row r="17" spans="5:9" x14ac:dyDescent="0.35">
      <c r="E17" t="s">
        <v>78</v>
      </c>
      <c r="I17" t="s">
        <v>81</v>
      </c>
    </row>
    <row r="18" spans="5:9" x14ac:dyDescent="0.35">
      <c r="E18" t="s">
        <v>80</v>
      </c>
      <c r="I18" t="s">
        <v>83</v>
      </c>
    </row>
    <row r="19" spans="5:9" x14ac:dyDescent="0.35">
      <c r="E19" t="s">
        <v>82</v>
      </c>
      <c r="I19" t="s">
        <v>85</v>
      </c>
    </row>
    <row r="20" spans="5:9" x14ac:dyDescent="0.35">
      <c r="E20" t="s">
        <v>84</v>
      </c>
      <c r="I20" t="s">
        <v>87</v>
      </c>
    </row>
    <row r="21" spans="5:9" x14ac:dyDescent="0.35">
      <c r="E21" t="s">
        <v>86</v>
      </c>
      <c r="I21" t="s">
        <v>89</v>
      </c>
    </row>
    <row r="22" spans="5:9" x14ac:dyDescent="0.35">
      <c r="E22" t="s">
        <v>88</v>
      </c>
      <c r="I22" t="s">
        <v>91</v>
      </c>
    </row>
    <row r="23" spans="5:9" x14ac:dyDescent="0.35">
      <c r="E23" t="s">
        <v>90</v>
      </c>
      <c r="I23" t="s">
        <v>93</v>
      </c>
    </row>
    <row r="24" spans="5:9" x14ac:dyDescent="0.35">
      <c r="E24" t="s">
        <v>92</v>
      </c>
      <c r="I24" t="s">
        <v>95</v>
      </c>
    </row>
    <row r="25" spans="5:9" x14ac:dyDescent="0.35">
      <c r="E25" t="s">
        <v>94</v>
      </c>
      <c r="I25" t="s">
        <v>97</v>
      </c>
    </row>
    <row r="26" spans="5:9" x14ac:dyDescent="0.35">
      <c r="E26" t="s">
        <v>96</v>
      </c>
      <c r="I26" t="s">
        <v>99</v>
      </c>
    </row>
    <row r="27" spans="5:9" x14ac:dyDescent="0.35">
      <c r="E27" t="s">
        <v>98</v>
      </c>
      <c r="I27" t="s">
        <v>101</v>
      </c>
    </row>
    <row r="28" spans="5:9" x14ac:dyDescent="0.35">
      <c r="E28" t="s">
        <v>100</v>
      </c>
      <c r="I28" t="s">
        <v>103</v>
      </c>
    </row>
    <row r="29" spans="5:9" x14ac:dyDescent="0.35">
      <c r="E29" t="s">
        <v>102</v>
      </c>
      <c r="I29" t="s">
        <v>105</v>
      </c>
    </row>
    <row r="30" spans="5:9" x14ac:dyDescent="0.35">
      <c r="E30" t="s">
        <v>104</v>
      </c>
      <c r="I30" t="s">
        <v>106</v>
      </c>
    </row>
    <row r="31" spans="5:9" x14ac:dyDescent="0.35">
      <c r="E31" t="s">
        <v>15</v>
      </c>
      <c r="I31" t="s">
        <v>108</v>
      </c>
    </row>
    <row r="32" spans="5:9" x14ac:dyDescent="0.35">
      <c r="E32" t="s">
        <v>107</v>
      </c>
      <c r="I32" t="s">
        <v>110</v>
      </c>
    </row>
    <row r="33" spans="5:9" x14ac:dyDescent="0.35">
      <c r="E33" t="s">
        <v>109</v>
      </c>
      <c r="I33" t="s">
        <v>112</v>
      </c>
    </row>
    <row r="34" spans="5:9" x14ac:dyDescent="0.35">
      <c r="E34" t="s">
        <v>111</v>
      </c>
      <c r="I34" t="s">
        <v>113</v>
      </c>
    </row>
    <row r="35" spans="5:9" x14ac:dyDescent="0.35">
      <c r="E35" t="s">
        <v>26</v>
      </c>
      <c r="I35" t="s">
        <v>115</v>
      </c>
    </row>
    <row r="36" spans="5:9" x14ac:dyDescent="0.35">
      <c r="E36" t="s">
        <v>114</v>
      </c>
      <c r="I36" t="s">
        <v>117</v>
      </c>
    </row>
    <row r="37" spans="5:9" x14ac:dyDescent="0.35">
      <c r="E37" t="s">
        <v>116</v>
      </c>
      <c r="I37" t="s">
        <v>119</v>
      </c>
    </row>
    <row r="38" spans="5:9" x14ac:dyDescent="0.35">
      <c r="E38" t="s">
        <v>118</v>
      </c>
      <c r="I38" t="s">
        <v>121</v>
      </c>
    </row>
    <row r="39" spans="5:9" x14ac:dyDescent="0.35">
      <c r="E39" t="s">
        <v>120</v>
      </c>
    </row>
    <row r="40" spans="5:9" x14ac:dyDescent="0.35">
      <c r="E40" t="s">
        <v>122</v>
      </c>
    </row>
    <row r="41" spans="5:9" x14ac:dyDescent="0.35">
      <c r="E41" t="s">
        <v>123</v>
      </c>
    </row>
    <row r="42" spans="5:9" x14ac:dyDescent="0.35">
      <c r="E42" t="s">
        <v>124</v>
      </c>
    </row>
    <row r="43" spans="5:9" x14ac:dyDescent="0.35">
      <c r="E43" t="s">
        <v>125</v>
      </c>
    </row>
    <row r="44" spans="5:9" x14ac:dyDescent="0.35">
      <c r="E44" t="s">
        <v>126</v>
      </c>
    </row>
    <row r="45" spans="5:9" x14ac:dyDescent="0.35">
      <c r="E45" t="s">
        <v>127</v>
      </c>
    </row>
    <row r="46" spans="5:9" x14ac:dyDescent="0.35">
      <c r="E46" t="s">
        <v>128</v>
      </c>
    </row>
    <row r="47" spans="5:9" x14ac:dyDescent="0.35">
      <c r="E47" t="s">
        <v>129</v>
      </c>
    </row>
    <row r="48" spans="5:9" x14ac:dyDescent="0.35">
      <c r="E48" t="s">
        <v>130</v>
      </c>
    </row>
    <row r="49" spans="5:5" x14ac:dyDescent="0.35">
      <c r="E49" t="s">
        <v>131</v>
      </c>
    </row>
    <row r="50" spans="5:5" x14ac:dyDescent="0.35">
      <c r="E50" t="s">
        <v>132</v>
      </c>
    </row>
    <row r="51" spans="5:5" x14ac:dyDescent="0.35">
      <c r="E51" t="s">
        <v>133</v>
      </c>
    </row>
    <row r="52" spans="5:5" x14ac:dyDescent="0.35">
      <c r="E52" t="s">
        <v>134</v>
      </c>
    </row>
    <row r="53" spans="5:5" x14ac:dyDescent="0.35">
      <c r="E53" t="s">
        <v>135</v>
      </c>
    </row>
    <row r="54" spans="5:5" x14ac:dyDescent="0.35">
      <c r="E54" t="s">
        <v>136</v>
      </c>
    </row>
    <row r="55" spans="5:5" x14ac:dyDescent="0.35">
      <c r="E55" t="s">
        <v>137</v>
      </c>
    </row>
    <row r="56" spans="5:5" x14ac:dyDescent="0.35">
      <c r="E56" t="s">
        <v>138</v>
      </c>
    </row>
    <row r="57" spans="5:5" x14ac:dyDescent="0.35">
      <c r="E57" t="s">
        <v>139</v>
      </c>
    </row>
    <row r="58" spans="5:5" x14ac:dyDescent="0.35">
      <c r="E58" t="s">
        <v>140</v>
      </c>
    </row>
    <row r="59" spans="5:5" x14ac:dyDescent="0.35">
      <c r="E59" t="s">
        <v>141</v>
      </c>
    </row>
    <row r="60" spans="5:5" x14ac:dyDescent="0.35">
      <c r="E60" t="s">
        <v>142</v>
      </c>
    </row>
    <row r="61" spans="5:5" x14ac:dyDescent="0.35">
      <c r="E61" t="s">
        <v>143</v>
      </c>
    </row>
    <row r="62" spans="5:5" x14ac:dyDescent="0.35">
      <c r="E62" t="s">
        <v>144</v>
      </c>
    </row>
    <row r="63" spans="5:5" x14ac:dyDescent="0.35">
      <c r="E63" t="s">
        <v>145</v>
      </c>
    </row>
    <row r="64" spans="5:5" x14ac:dyDescent="0.35">
      <c r="E64" t="s">
        <v>146</v>
      </c>
    </row>
    <row r="65" spans="5:5" x14ac:dyDescent="0.35">
      <c r="E65" t="s">
        <v>147</v>
      </c>
    </row>
    <row r="66" spans="5:5" x14ac:dyDescent="0.35">
      <c r="E66"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RSPO Checklist</vt:lpstr>
      <vt:lpstr>Contract Review</vt:lpstr>
      <vt:lpstr>Scheduling Review</vt:lpstr>
      <vt:lpstr>Admin Review</vt:lpstr>
      <vt:lpstr>Database Update</vt:lpstr>
      <vt:lpstr>ICC Technical Review</vt:lpstr>
      <vt:lpstr>ICC Final Review</vt:lpstr>
      <vt:lpstr>Support</vt:lpstr>
    </vt:vector>
  </TitlesOfParts>
  <Company>Bureau Veritas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BVIL</dc:creator>
  <cp:lastModifiedBy>OS376</cp:lastModifiedBy>
  <dcterms:created xsi:type="dcterms:W3CDTF">2024-04-15T05:27:37Z</dcterms:created>
  <dcterms:modified xsi:type="dcterms:W3CDTF">2024-09-21T05:27:08Z</dcterms:modified>
</cp:coreProperties>
</file>